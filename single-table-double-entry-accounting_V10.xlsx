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bdev/Documents/single-table-accounting/"/>
    </mc:Choice>
  </mc:AlternateContent>
  <xr:revisionPtr revIDLastSave="0" documentId="13_ncr:1_{6C529FF0-9CF5-6E4D-BE80-2BA404F9E972}" xr6:coauthVersionLast="47" xr6:coauthVersionMax="47" xr10:uidLastSave="{00000000-0000-0000-0000-000000000000}"/>
  <bookViews>
    <workbookView xWindow="4360" yWindow="660" windowWidth="30200" windowHeight="21680" xr2:uid="{00000000-000D-0000-FFFF-FFFF00000000}"/>
  </bookViews>
  <sheets>
    <sheet name="READ-ME-FIRST" sheetId="10" r:id="rId1"/>
    <sheet name="ACC SYTEM SPEC." sheetId="1" r:id="rId2"/>
    <sheet name="CHART-OF-ACCOUNTS" sheetId="2" r:id="rId3"/>
    <sheet name="SINGLE-ENTRY-SYSTEM " sheetId="6" r:id="rId4"/>
    <sheet name="DOUBLE-ENTRY-SYSTEM" sheetId="3" r:id="rId5"/>
    <sheet name="JOURNAL" sheetId="4" r:id="rId6"/>
    <sheet name="LEDGER" sheetId="5" r:id="rId7"/>
  </sheets>
  <definedNames>
    <definedName name="bank_m" localSheetId="4">'DOUBLE-ENTRY-SYSTEM'!$E$25:$E$50</definedName>
    <definedName name="bank_m" localSheetId="3">'SINGLE-ENTRY-SYSTEM '!#REF!</definedName>
    <definedName name="bank_m">#REF!</definedName>
    <definedName name="bank_p" localSheetId="4">'DOUBLE-ENTRY-SYSTEM'!$D$25:$D$50</definedName>
    <definedName name="bank_p" localSheetId="3">'SINGLE-ENTRY-SYSTEM '!$D$23:$D$48</definedName>
    <definedName name="bank_p">#REF!</definedName>
    <definedName name="capital_m" localSheetId="4">'DOUBLE-ENTRY-SYSTEM'!$M$25:$M$50</definedName>
    <definedName name="capital_m" localSheetId="3">'SINGLE-ENTRY-SYSTEM '!#REF!</definedName>
    <definedName name="capital_m">#REF!</definedName>
    <definedName name="capital_p" localSheetId="4">'DOUBLE-ENTRY-SYSTEM'!$L$25:$L$50</definedName>
    <definedName name="capital_p" localSheetId="3">'SINGLE-ENTRY-SYSTEM '!$H$23:$H$48</definedName>
    <definedName name="capital_p">#REF!</definedName>
    <definedName name="revenue_m" localSheetId="4">'DOUBLE-ENTRY-SYSTEM'!$K$25:$K$50</definedName>
    <definedName name="revenue_m" localSheetId="3">'SINGLE-ENTRY-SYSTEM '!#REF!</definedName>
    <definedName name="revenue_m">#REF!</definedName>
    <definedName name="revenue_p" localSheetId="4">'DOUBLE-ENTRY-SYSTEM'!$J$25:$J$50</definedName>
    <definedName name="revenue_p" localSheetId="3">'SINGLE-ENTRY-SYSTEM '!$G$23:$G$48</definedName>
    <definedName name="revenue_p">#REF!</definedName>
    <definedName name="salary_m" localSheetId="4">'DOUBLE-ENTRY-SYSTEM'!$H$25:$H$50</definedName>
    <definedName name="salary_m" localSheetId="3">'SINGLE-ENTRY-SYSTEM '!$F$23:$F$48</definedName>
    <definedName name="salary_m">#REF!</definedName>
    <definedName name="salary_p" localSheetId="4">'DOUBLE-ENTRY-SYSTEM'!$I$25:$I$50</definedName>
    <definedName name="salary_p" localSheetId="3">'SINGLE-ENTRY-SYSTEM '!#REF!</definedName>
    <definedName name="salary_p">#REF!</definedName>
    <definedName name="sum2here" localSheetId="4">'DOUBLE-ENTRY-SYSTEM'!$B$25:$B$50</definedName>
    <definedName name="sum2here" localSheetId="3">'SINGLE-ENTRY-SYSTEM '!$B$23:$B$48</definedName>
    <definedName name="sum2here">#REF!</definedName>
    <definedName name="transport_m" localSheetId="4">'DOUBLE-ENTRY-SYSTEM'!$G$25:$G$50</definedName>
    <definedName name="transport_m" localSheetId="3">'SINGLE-ENTRY-SYSTEM '!#REF!</definedName>
    <definedName name="transport_m">#REF!</definedName>
    <definedName name="transport_p" localSheetId="4">'DOUBLE-ENTRY-SYSTEM'!$F$25:$F$50</definedName>
    <definedName name="transport_p" localSheetId="3">'SINGLE-ENTRY-SYSTEM '!$E$23:$E$48</definedName>
    <definedName name="transport_p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" i="6" l="1"/>
  <c r="J47" i="6"/>
  <c r="J46" i="6"/>
  <c r="J41" i="6"/>
  <c r="J40" i="6"/>
  <c r="J35" i="6"/>
  <c r="J34" i="6"/>
  <c r="J31" i="6"/>
  <c r="J30" i="6"/>
  <c r="J29" i="6"/>
  <c r="J28" i="6"/>
  <c r="J27" i="6"/>
  <c r="J26" i="6"/>
  <c r="J25" i="6"/>
  <c r="J24" i="6"/>
  <c r="J23" i="6"/>
  <c r="G33" i="6"/>
  <c r="G39" i="6" s="1"/>
  <c r="E33" i="6"/>
  <c r="E39" i="6" s="1"/>
  <c r="E45" i="6" s="1"/>
  <c r="G32" i="6"/>
  <c r="E32" i="6"/>
  <c r="E38" i="6" s="1"/>
  <c r="E44" i="6" s="1"/>
  <c r="G31" i="6"/>
  <c r="E31" i="6"/>
  <c r="G30" i="6"/>
  <c r="E30" i="6"/>
  <c r="F19" i="6"/>
  <c r="F6" i="6" s="1"/>
  <c r="F9" i="6" a="1"/>
  <c r="F9" i="6" s="1"/>
  <c r="C9" i="6" a="1"/>
  <c r="C9" i="6" s="1"/>
  <c r="D4" i="6" s="1"/>
  <c r="I50" i="3"/>
  <c r="F50" i="3"/>
  <c r="D50" i="3"/>
  <c r="P49" i="3"/>
  <c r="Q49" i="3" s="1"/>
  <c r="O49" i="3"/>
  <c r="P48" i="3"/>
  <c r="O48" i="3"/>
  <c r="P42" i="3"/>
  <c r="P36" i="3"/>
  <c r="J35" i="3"/>
  <c r="J41" i="3" s="1"/>
  <c r="I35" i="3"/>
  <c r="I41" i="3" s="1"/>
  <c r="I47" i="3" s="1"/>
  <c r="F35" i="3"/>
  <c r="F41" i="3" s="1"/>
  <c r="F47" i="3" s="1"/>
  <c r="J34" i="3"/>
  <c r="P34" i="3" s="1"/>
  <c r="I34" i="3"/>
  <c r="I40" i="3" s="1"/>
  <c r="I46" i="3" s="1"/>
  <c r="F34" i="3"/>
  <c r="F40" i="3" s="1"/>
  <c r="J33" i="3"/>
  <c r="J39" i="3" s="1"/>
  <c r="I33" i="3"/>
  <c r="F33" i="3"/>
  <c r="F39" i="3" s="1"/>
  <c r="F45" i="3" s="1"/>
  <c r="J32" i="3"/>
  <c r="P32" i="3" s="1"/>
  <c r="I32" i="3"/>
  <c r="I38" i="3" s="1"/>
  <c r="F32" i="3"/>
  <c r="K31" i="3"/>
  <c r="O31" i="3" s="1"/>
  <c r="G31" i="3"/>
  <c r="P30" i="3"/>
  <c r="O30" i="3"/>
  <c r="P29" i="3"/>
  <c r="O29" i="3"/>
  <c r="P28" i="3"/>
  <c r="O28" i="3"/>
  <c r="P27" i="3"/>
  <c r="O27" i="3"/>
  <c r="P26" i="3"/>
  <c r="O26" i="3"/>
  <c r="P25" i="3"/>
  <c r="O25" i="3"/>
  <c r="H19" i="3"/>
  <c r="E19" i="3"/>
  <c r="F9" i="3" a="1"/>
  <c r="F9" i="3" s="1"/>
  <c r="C9" i="3" a="1"/>
  <c r="C9" i="3" s="1"/>
  <c r="D4" i="3" s="1"/>
  <c r="Q25" i="3" l="1"/>
  <c r="D32" i="3"/>
  <c r="O32" i="3" s="1"/>
  <c r="Q27" i="3"/>
  <c r="Q30" i="3"/>
  <c r="J32" i="6"/>
  <c r="J39" i="6"/>
  <c r="G38" i="6"/>
  <c r="J38" i="6" s="1"/>
  <c r="J33" i="6"/>
  <c r="G37" i="6"/>
  <c r="H13" i="6"/>
  <c r="G45" i="6"/>
  <c r="J45" i="6" s="1"/>
  <c r="E36" i="6"/>
  <c r="G36" i="6"/>
  <c r="J36" i="6" s="1"/>
  <c r="G44" i="6"/>
  <c r="J44" i="6" s="1"/>
  <c r="E37" i="6"/>
  <c r="I44" i="3"/>
  <c r="J40" i="3"/>
  <c r="P40" i="3" s="1"/>
  <c r="L31" i="3"/>
  <c r="Q48" i="3"/>
  <c r="Q28" i="3"/>
  <c r="Q29" i="3"/>
  <c r="P35" i="3"/>
  <c r="M36" i="3"/>
  <c r="Q26" i="3"/>
  <c r="P41" i="3"/>
  <c r="J47" i="3"/>
  <c r="D41" i="3"/>
  <c r="O41" i="3" s="1"/>
  <c r="Q32" i="3"/>
  <c r="F46" i="3"/>
  <c r="J45" i="3"/>
  <c r="P39" i="3"/>
  <c r="F38" i="3"/>
  <c r="D35" i="3"/>
  <c r="O35" i="3" s="1"/>
  <c r="Q35" i="3" s="1"/>
  <c r="J38" i="3"/>
  <c r="P33" i="3"/>
  <c r="G37" i="3"/>
  <c r="K37" i="3"/>
  <c r="J46" i="3"/>
  <c r="D34" i="3"/>
  <c r="O34" i="3" s="1"/>
  <c r="Q34" i="3" s="1"/>
  <c r="D33" i="3"/>
  <c r="O33" i="3" s="1"/>
  <c r="I39" i="3"/>
  <c r="I45" i="3" s="1"/>
  <c r="G43" i="6" l="1"/>
  <c r="J37" i="6"/>
  <c r="G42" i="6"/>
  <c r="G19" i="6"/>
  <c r="E43" i="6"/>
  <c r="E42" i="6"/>
  <c r="D40" i="3"/>
  <c r="O40" i="3" s="1"/>
  <c r="Q40" i="3" s="1"/>
  <c r="P31" i="3"/>
  <c r="Q31" i="3" s="1"/>
  <c r="O36" i="3"/>
  <c r="Q36" i="3" s="1"/>
  <c r="M19" i="3"/>
  <c r="I19" i="3"/>
  <c r="F6" i="3" s="1"/>
  <c r="H13" i="3" s="1"/>
  <c r="K43" i="3"/>
  <c r="O43" i="3" s="1"/>
  <c r="M42" i="3"/>
  <c r="O42" i="3" s="1"/>
  <c r="Q42" i="3" s="1"/>
  <c r="F44" i="3"/>
  <c r="G43" i="3"/>
  <c r="D39" i="3"/>
  <c r="O39" i="3" s="1"/>
  <c r="Q39" i="3" s="1"/>
  <c r="P46" i="3"/>
  <c r="D46" i="3"/>
  <c r="O46" i="3" s="1"/>
  <c r="D38" i="3"/>
  <c r="O38" i="3" s="1"/>
  <c r="P38" i="3"/>
  <c r="J44" i="3"/>
  <c r="J19" i="3" s="1"/>
  <c r="D47" i="3"/>
  <c r="O47" i="3" s="1"/>
  <c r="P47" i="3"/>
  <c r="Q47" i="3" s="1"/>
  <c r="Q41" i="3"/>
  <c r="P45" i="3"/>
  <c r="D45" i="3"/>
  <c r="O45" i="3" s="1"/>
  <c r="O37" i="3"/>
  <c r="L37" i="3"/>
  <c r="P37" i="3" s="1"/>
  <c r="Q37" i="3" s="1"/>
  <c r="Q33" i="3"/>
  <c r="G6" i="6" l="1"/>
  <c r="J42" i="6"/>
  <c r="J43" i="6"/>
  <c r="E19" i="6"/>
  <c r="G50" i="3"/>
  <c r="G19" i="3" s="1"/>
  <c r="Q38" i="3"/>
  <c r="F19" i="3"/>
  <c r="Q45" i="3"/>
  <c r="Q46" i="3"/>
  <c r="D44" i="3"/>
  <c r="P44" i="3"/>
  <c r="L43" i="3"/>
  <c r="P43" i="3" s="1"/>
  <c r="Q43" i="3" s="1"/>
  <c r="K50" i="3"/>
  <c r="K19" i="3" s="1"/>
  <c r="G6" i="3" s="1"/>
  <c r="D11" i="3" s="1"/>
  <c r="E6" i="3" l="1"/>
  <c r="E12" i="3" s="1"/>
  <c r="E15" i="3" s="1"/>
  <c r="H14" i="3" s="1"/>
  <c r="E6" i="6"/>
  <c r="E12" i="6" s="1"/>
  <c r="D19" i="6"/>
  <c r="D6" i="6" s="1"/>
  <c r="D11" i="6"/>
  <c r="O44" i="3"/>
  <c r="Q44" i="3" s="1"/>
  <c r="D19" i="3"/>
  <c r="L50" i="3"/>
  <c r="P50" i="3" s="1"/>
  <c r="O50" i="3"/>
  <c r="E15" i="6" l="1"/>
  <c r="H14" i="6" s="1"/>
  <c r="H19" i="6"/>
  <c r="G10" i="6"/>
  <c r="G15" i="6" s="1"/>
  <c r="O19" i="3"/>
  <c r="D6" i="3"/>
  <c r="G10" i="3" s="1"/>
  <c r="G15" i="3" s="1"/>
  <c r="L19" i="3"/>
  <c r="Q50" i="3"/>
  <c r="H6" i="6" l="1"/>
  <c r="H12" i="6" s="1"/>
  <c r="H15" i="6" s="1"/>
  <c r="J19" i="6"/>
  <c r="H6" i="3"/>
  <c r="H12" i="3" s="1"/>
  <c r="H15" i="3" s="1"/>
  <c r="P19" i="3"/>
  <c r="Q1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C23" authorId="0" shapeId="0" xr:uid="{F182F078-250D-D645-A8FE-8DFDC8A88AFA}">
      <text>
        <r>
          <rPr>
            <sz val="12"/>
            <color rgb="FF000000"/>
            <rFont val="Aptos Narrow"/>
          </rPr>
          <t>Initial state of the accounting system. Joe begins with no assets, liabilities, capital, or bank balance.</t>
        </r>
      </text>
    </comment>
    <comment ref="C24" authorId="0" shapeId="0" xr:uid="{D79BF5A9-C181-EF4E-8277-C925A88E97A1}">
      <text>
        <r>
          <rPr>
            <sz val="12"/>
            <color rgb="FF000000"/>
            <rFont val="Aptos Narrow"/>
          </rPr>
          <t>Month 1, Week 1. Weekly operations generated $1,000.00 of revenue, incurred $800.00 of transport expense, and paid a $150.00 owner draw, increasing the bank balance by $50.00.</t>
        </r>
      </text>
    </comment>
    <comment ref="C25" authorId="0" shapeId="0" xr:uid="{145D2534-430A-8442-8E84-E8571E4274CE}">
      <text>
        <r>
          <rPr>
            <sz val="12"/>
            <color rgb="FF000000"/>
            <rFont val="Aptos Narrow"/>
          </rPr>
          <t>Month 1, Week 2. Weekly operations generated $1,000.00 of revenue, incurred $800.00 of transport expense, and paid a $150.00 owner draw, increasing the bank balance by $50.00.</t>
        </r>
      </text>
    </comment>
    <comment ref="C26" authorId="0" shapeId="0" xr:uid="{1B556360-8F0E-124F-B07C-A46258177C76}">
      <text>
        <r>
          <rPr>
            <sz val="12"/>
            <color rgb="FF000000"/>
            <rFont val="Aptos Narrow"/>
          </rPr>
          <t>Month 1, Week 3. Weekly operations generated $1,000.00 of revenue, incurred $800.00 of transport expense, and paid a $150.00 owner draw, increasing the bank balance by $50.00.</t>
        </r>
      </text>
    </comment>
    <comment ref="C27" authorId="0" shapeId="0" xr:uid="{D312F7DB-76D5-8E4B-A7F0-67CD5CEC094D}">
      <text>
        <r>
          <rPr>
            <sz val="12"/>
            <color theme="1"/>
            <rFont val="Aptos Narrow"/>
          </rPr>
          <t>Month 1, Week 4. Weekly operations generated $1,000.00 of revenue, incurred $800.00 of transport expense, and paid a $150.00 owner draw, increasing the bank balance by $50.00.</t>
        </r>
      </text>
    </comment>
    <comment ref="C28" authorId="0" shapeId="0" xr:uid="{CFC4772E-F20C-0748-9D26-0FD328C74248}">
      <text>
        <r>
          <rPr>
            <sz val="12"/>
            <color theme="1"/>
            <rFont val="Aptos Narrow"/>
          </rPr>
          <t>Month 1 adjustment. Monthly owner draws of $600.00 are consolidated into Joe's Capital.</t>
        </r>
      </text>
    </comment>
    <comment ref="C29" authorId="0" shapeId="0" xr:uid="{D3DDD665-54D9-AA46-92AE-8B3D05A1DAD8}">
      <text>
        <r>
          <rPr>
            <sz val="12"/>
            <color rgb="FF000000"/>
            <rFont val="Aptos Narrow"/>
          </rPr>
          <t>Month 1 closing entry. Revenue of $4,000.00 and transport expense of $3,200.00 are closed to Joe's Capital, increasing capital by $800.00.</t>
        </r>
      </text>
    </comment>
    <comment ref="C30" authorId="0" shapeId="0" xr:uid="{C2E5195A-7347-1A4A-A606-8275E2D9573F}">
      <text>
        <r>
          <rPr>
            <sz val="12"/>
            <color theme="1"/>
            <rFont val="Aptos Narrow"/>
          </rPr>
          <t>Month 2, Week 1. Weekly operations generated $1,100.00 of revenue, incurred $880.00 of transport expense, and paid a $150.00 owner draw, increasing the bank balance by $70.00.</t>
        </r>
      </text>
    </comment>
    <comment ref="C31" authorId="0" shapeId="0" xr:uid="{BB01ED62-46E9-1A4A-96CB-D8EA57C0E821}">
      <text>
        <r>
          <rPr>
            <sz val="12"/>
            <color rgb="FF000000"/>
            <rFont val="Aptos Narrow"/>
          </rPr>
          <t>Month 2, Week 2. Weekly operations generated $1,100.00 of revenue, incurred $880.00 of transport expense, and paid a $150.00 owner draw, increasing the bank balance by $70.00.</t>
        </r>
      </text>
    </comment>
    <comment ref="C32" authorId="0" shapeId="0" xr:uid="{C7DD80EC-A086-1342-A86C-95D35CBD2070}">
      <text>
        <r>
          <rPr>
            <sz val="12"/>
            <color theme="1"/>
            <rFont val="Aptos Narrow"/>
          </rPr>
          <t>Month 2, Week 3. Weekly operations generated $1,100.00 of revenue, incurred $880.00 of transport expense, and paid a $150.00 owner draw, increasing the bank balance by $70.00.</t>
        </r>
      </text>
    </comment>
    <comment ref="C33" authorId="0" shapeId="0" xr:uid="{10981F91-EE5A-7649-93B3-4BBE6B758C6B}">
      <text>
        <r>
          <rPr>
            <sz val="12"/>
            <color theme="1"/>
            <rFont val="Aptos Narrow"/>
          </rPr>
          <t>Month 2, Week 4. Weekly operations generated $1,100.00 of revenue, incurred $880.00 of transport expense, and paid a $150.00 owner draw, increasing the bank balance by $70.00.</t>
        </r>
      </text>
    </comment>
    <comment ref="C34" authorId="0" shapeId="0" xr:uid="{F091A0E6-104D-9E45-B717-C0AA868E0571}">
      <text>
        <r>
          <rPr>
            <sz val="12"/>
            <color theme="1"/>
            <rFont val="Aptos Narrow"/>
          </rPr>
          <t>Month 2 adjustment. Monthly owner draws of $600.00 are consolidated into Joe's Capital.</t>
        </r>
      </text>
    </comment>
    <comment ref="C35" authorId="0" shapeId="0" xr:uid="{DB5C35C4-5376-024A-9694-7C0E8F4EFEED}">
      <text>
        <r>
          <rPr>
            <sz val="12"/>
            <color theme="1"/>
            <rFont val="Aptos Narrow"/>
          </rPr>
          <t>Month 2 closing entry. Revenue of $4,400.00 and transport expense of $3,520.00 are closed to Joe's Capital, increasing capital by $880.00.</t>
        </r>
      </text>
    </comment>
    <comment ref="C36" authorId="0" shapeId="0" xr:uid="{716199DA-4DE5-BC4D-9E2B-683C721EE757}">
      <text>
        <r>
          <rPr>
            <sz val="12"/>
            <color theme="1"/>
            <rFont val="Aptos Narrow"/>
          </rPr>
          <t>Month 3, Week 1. Weekly operations generated $1,210.00 of revenue, incurred $968.00 of transport expense, and paid a $150.00 owner draw, increasing the bank balance by $92.00.</t>
        </r>
      </text>
    </comment>
    <comment ref="C37" authorId="0" shapeId="0" xr:uid="{F2761D6D-6C93-2F43-816B-F234965E4590}">
      <text>
        <r>
          <rPr>
            <sz val="12"/>
            <color theme="1"/>
            <rFont val="Aptos Narrow"/>
          </rPr>
          <t>Month 3, Week 2. Weekly operations generated $1,210.00 of revenue, incurred $968.00 of transport expense, and paid a $150.00 owner draw, increasing the bank balance by $92.00.</t>
        </r>
      </text>
    </comment>
    <comment ref="C38" authorId="0" shapeId="0" xr:uid="{A7B7916D-8DDB-6A41-9DF9-2172F6F49434}">
      <text>
        <r>
          <rPr>
            <sz val="12"/>
            <color theme="1"/>
            <rFont val="Aptos Narrow"/>
          </rPr>
          <t>Month 3, Week 3. Weekly operations generated $1,210.00 of revenue, incurred $968.00 of transport expense, and paid a $150.00 owner draw, increasing the bank balance by $92.00.</t>
        </r>
      </text>
    </comment>
    <comment ref="C39" authorId="0" shapeId="0" xr:uid="{0CAC8240-2E8E-1740-8CD6-1075D5DD8BD4}">
      <text>
        <r>
          <rPr>
            <sz val="12"/>
            <color theme="1"/>
            <rFont val="Aptos Narrow"/>
          </rPr>
          <t>Month 3, Week 4. Weekly operations generated $1,210.00 of revenue, incurred $968.00 of transport expense, and paid a $150.00 owner draw, increasing the bank balance by $92.00.</t>
        </r>
      </text>
    </comment>
    <comment ref="C40" authorId="0" shapeId="0" xr:uid="{7C653305-F7A5-E24E-8B85-4BF0C84E4D60}">
      <text>
        <r>
          <rPr>
            <sz val="12"/>
            <color theme="1"/>
            <rFont val="Aptos Narrow"/>
          </rPr>
          <t>Month 3 adjustment. Monthly owner draws of $600.00 are consolidated into Joe's Capital.</t>
        </r>
      </text>
    </comment>
    <comment ref="C41" authorId="0" shapeId="0" xr:uid="{6BBD9604-4251-264F-829A-054993094E15}">
      <text>
        <r>
          <rPr>
            <sz val="12"/>
            <color theme="1"/>
            <rFont val="Aptos Narrow"/>
          </rPr>
          <t>Month 3 closing entry. Revenue of $4,840.00 and transport expense of $3,872.00 are closed to Joe's Capital, increasing capital by $968.00.</t>
        </r>
      </text>
    </comment>
    <comment ref="C42" authorId="0" shapeId="0" xr:uid="{EE325E4F-3FE4-1E48-85D1-9147B26CBF74}">
      <text>
        <r>
          <rPr>
            <sz val="12"/>
            <color theme="1"/>
            <rFont val="Aptos Narrow"/>
          </rPr>
          <t>Month 4, Week 1. Weekly operations generated $1,331.00 of revenue, incurred $1,064.80 of transport expense, and paid a $150.00 owner draw, increasing the bank balance by $116.20.</t>
        </r>
      </text>
    </comment>
    <comment ref="C43" authorId="0" shapeId="0" xr:uid="{6E32D3A7-F9FA-644B-8A84-291E2BDEE295}">
      <text>
        <r>
          <rPr>
            <sz val="12"/>
            <color theme="1"/>
            <rFont val="Aptos Narrow"/>
          </rPr>
          <t>Month 4, Week 2. Weekly operations generated $1,331.00 of revenue, incurred $1,064.80 of transport expense, and paid a $150.00 owner draw, increasing the bank balance by $116.20.</t>
        </r>
      </text>
    </comment>
    <comment ref="C44" authorId="0" shapeId="0" xr:uid="{065EF7E9-60DD-AB4D-A238-3E1C718353F8}">
      <text>
        <r>
          <rPr>
            <sz val="12"/>
            <color theme="1"/>
            <rFont val="Aptos Narrow"/>
          </rPr>
          <t>Month 4, Week 3. Weekly operations generated $1,331.00 of revenue, incurred $1,064.80 of transport expense, and paid a $150.00 owner draw, increasing the bank balance by $116.20.</t>
        </r>
      </text>
    </comment>
    <comment ref="C45" authorId="0" shapeId="0" xr:uid="{13102D28-BD90-7A4F-AC6B-464019DBE512}">
      <text>
        <r>
          <rPr>
            <sz val="12"/>
            <color theme="1"/>
            <rFont val="Aptos Narrow"/>
          </rPr>
          <t>Month 4, Week 4. Weekly operations generated $1,331.00 of revenue, incurred $1,064.80 of transport expense, and paid a $150.00 owner draw, increasing the bank balance by $116.20.</t>
        </r>
      </text>
    </comment>
    <comment ref="C46" authorId="0" shapeId="0" xr:uid="{D4582F9F-1595-4740-8AC3-4125AE1F12BC}">
      <text>
        <r>
          <rPr>
            <sz val="12"/>
            <color theme="1"/>
            <rFont val="Aptos Narrow"/>
          </rPr>
          <t>One-time owner draw of $1,000.00. The additional draw reduces Joe's Capital and the bank balance by $1,000.00.</t>
        </r>
      </text>
    </comment>
    <comment ref="C47" authorId="0" shapeId="0" xr:uid="{924F9380-24DE-6244-9163-95D484DF2210}">
      <text>
        <r>
          <rPr>
            <sz val="12"/>
            <color theme="1"/>
            <rFont val="Aptos Narrow"/>
          </rPr>
          <t>Month 4 adjustment. Monthly owner draws of $1,600.00 are consolidated into Joe's Capital.</t>
        </r>
      </text>
    </comment>
    <comment ref="C48" authorId="0" shapeId="0" xr:uid="{4E663B16-D850-A346-9E09-EF1372B4DD76}">
      <text>
        <r>
          <rPr>
            <sz val="12"/>
            <color rgb="FF000000"/>
            <rFont val="Aptos Narrow"/>
          </rPr>
          <t>Month 4 closing entry. Revenue of $5,324.00 and transport expense of $4,259.20 are closed to Joe's Capital, increasing capital by $1,064.80.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C25" authorId="0" shapeId="0" xr:uid="{00000000-0006-0000-0200-000001000000}">
      <text>
        <r>
          <rPr>
            <sz val="12"/>
            <color rgb="FF000000"/>
            <rFont val="Aptos Narrow"/>
          </rPr>
          <t>Initial state of the accounting system. Joe begins with no assets, liabilities, capital, or bank balance.</t>
        </r>
      </text>
    </comment>
    <comment ref="C26" authorId="0" shapeId="0" xr:uid="{00000000-0006-0000-0200-000002000000}">
      <text>
        <r>
          <rPr>
            <sz val="12"/>
            <color rgb="FF000000"/>
            <rFont val="Aptos Narrow"/>
          </rPr>
          <t>Month 1, Week 1. Weekly operations generated $1,000.00 of revenue, incurred $800.00 of transport expense, and paid a $150.00 owner draw, increasing the bank balance by $50.00.</t>
        </r>
      </text>
    </comment>
    <comment ref="C27" authorId="0" shapeId="0" xr:uid="{00000000-0006-0000-0200-000003000000}">
      <text>
        <r>
          <rPr>
            <sz val="12"/>
            <color rgb="FF000000"/>
            <rFont val="Aptos Narrow"/>
          </rPr>
          <t>Month 1, Week 2. Weekly operations generated $1,000.00 of revenue, incurred $800.00 of transport expense, and paid a $150.00 owner draw, increasing the bank balance by $50.00.</t>
        </r>
      </text>
    </comment>
    <comment ref="C28" authorId="0" shapeId="0" xr:uid="{00000000-0006-0000-0200-000004000000}">
      <text>
        <r>
          <rPr>
            <sz val="12"/>
            <color rgb="FF000000"/>
            <rFont val="Aptos Narrow"/>
          </rPr>
          <t>Month 1, Week 3. Weekly operations generated $1,000.00 of revenue, incurred $800.00 of transport expense, and paid a $150.00 owner draw, increasing the bank balance by $50.00.</t>
        </r>
      </text>
    </comment>
    <comment ref="C29" authorId="0" shapeId="0" xr:uid="{00000000-0006-0000-0200-000005000000}">
      <text>
        <r>
          <rPr>
            <sz val="12"/>
            <color rgb="FF000000"/>
            <rFont val="Aptos Narrow"/>
          </rPr>
          <t>Month 1, Week 4. Weekly operations generated $1,000.00 of revenue, incurred $800.00 of transport expense, and paid a $150.00 owner draw, increasing the bank balance by $50.00.</t>
        </r>
      </text>
    </comment>
    <comment ref="C30" authorId="0" shapeId="0" xr:uid="{00000000-0006-0000-0200-000006000000}">
      <text>
        <r>
          <rPr>
            <sz val="12"/>
            <color theme="1"/>
            <rFont val="Aptos Narrow"/>
          </rPr>
          <t>Month 1 adjustment. Monthly owner draws of $600.00 are consolidated into Joe's Capital.</t>
        </r>
      </text>
    </comment>
    <comment ref="C31" authorId="0" shapeId="0" xr:uid="{00000000-0006-0000-0200-000007000000}">
      <text>
        <r>
          <rPr>
            <sz val="12"/>
            <color theme="1"/>
            <rFont val="Aptos Narrow"/>
          </rPr>
          <t>Month 1 closing entry. Revenue of $4,000.00 and transport expense of $3,200.00 are closed to Joe's Capital, increasing capital by $800.00.</t>
        </r>
      </text>
    </comment>
    <comment ref="C32" authorId="0" shapeId="0" xr:uid="{00000000-0006-0000-0200-000008000000}">
      <text>
        <r>
          <rPr>
            <sz val="12"/>
            <color rgb="FF000000"/>
            <rFont val="Aptos Narrow"/>
          </rPr>
          <t>Month 2, Week 1. Weekly operations generated $1,100.00 of revenue, incurred $880.00 of transport expense, and paid a $150.00 owner draw, increasing the bank balance by $70.00.</t>
        </r>
      </text>
    </comment>
    <comment ref="C33" authorId="0" shapeId="0" xr:uid="{00000000-0006-0000-0200-000009000000}">
      <text>
        <r>
          <rPr>
            <sz val="12"/>
            <color theme="1"/>
            <rFont val="Aptos Narrow"/>
          </rPr>
          <t>Month 2, Week 2. Weekly operations generated $1,100.00 of revenue, incurred $880.00 of transport expense, and paid a $150.00 owner draw, increasing the bank balance by $70.00.</t>
        </r>
      </text>
    </comment>
    <comment ref="C34" authorId="0" shapeId="0" xr:uid="{00000000-0006-0000-0200-00000A000000}">
      <text>
        <r>
          <rPr>
            <sz val="12"/>
            <color theme="1"/>
            <rFont val="Aptos Narrow"/>
          </rPr>
          <t>Month 2, Week 3. Weekly operations generated $1,100.00 of revenue, incurred $880.00 of transport expense, and paid a $150.00 owner draw, increasing the bank balance by $70.00.</t>
        </r>
      </text>
    </comment>
    <comment ref="C35" authorId="0" shapeId="0" xr:uid="{00000000-0006-0000-0200-00000B000000}">
      <text>
        <r>
          <rPr>
            <sz val="12"/>
            <color rgb="FF000000"/>
            <rFont val="Aptos Narrow"/>
          </rPr>
          <t>Month 2, Week 4. Weekly operations generated $1,100.00 of revenue, incurred $880.00 of transport expense, and paid a $150.00 owner draw, increasing the bank balance by $70.00.</t>
        </r>
      </text>
    </comment>
    <comment ref="C36" authorId="0" shapeId="0" xr:uid="{00000000-0006-0000-0200-00000C000000}">
      <text>
        <r>
          <rPr>
            <sz val="12"/>
            <color theme="1"/>
            <rFont val="Aptos Narrow"/>
          </rPr>
          <t>Month 2 adjustment. Monthly owner draws of $600.00 are consolidated into Joe's Capital.</t>
        </r>
      </text>
    </comment>
    <comment ref="C37" authorId="0" shapeId="0" xr:uid="{00000000-0006-0000-0200-00000D000000}">
      <text>
        <r>
          <rPr>
            <sz val="12"/>
            <color rgb="FF000000"/>
            <rFont val="Aptos Narrow"/>
          </rPr>
          <t>Month 2 closing entry. Revenue of $4,400.00 and transport expense of $3,520.00 are closed to Joe's Capital, increasing capital by $880.00.</t>
        </r>
      </text>
    </comment>
    <comment ref="C38" authorId="0" shapeId="0" xr:uid="{00000000-0006-0000-0200-00000E000000}">
      <text>
        <r>
          <rPr>
            <sz val="12"/>
            <color theme="1"/>
            <rFont val="Aptos Narrow"/>
          </rPr>
          <t>Month 3, Week 1. Weekly operations generated $1,210.00 of revenue, incurred $968.00 of transport expense, and paid a $150.00 owner draw, increasing the bank balance by $92.00.</t>
        </r>
      </text>
    </comment>
    <comment ref="C39" authorId="0" shapeId="0" xr:uid="{00000000-0006-0000-0200-00000F000000}">
      <text>
        <r>
          <rPr>
            <sz val="12"/>
            <color theme="1"/>
            <rFont val="Aptos Narrow"/>
          </rPr>
          <t>Month 3, Week 2. Weekly operations generated $1,210.00 of revenue, incurred $968.00 of transport expense, and paid a $150.00 owner draw, increasing the bank balance by $92.00.</t>
        </r>
      </text>
    </comment>
    <comment ref="C40" authorId="0" shapeId="0" xr:uid="{00000000-0006-0000-0200-000010000000}">
      <text>
        <r>
          <rPr>
            <sz val="12"/>
            <color theme="1"/>
            <rFont val="Aptos Narrow"/>
          </rPr>
          <t>Month 3, Week 3. Weekly operations generated $1,210.00 of revenue, incurred $968.00 of transport expense, and paid a $150.00 owner draw, increasing the bank balance by $92.00.</t>
        </r>
      </text>
    </comment>
    <comment ref="C41" authorId="0" shapeId="0" xr:uid="{00000000-0006-0000-0200-000011000000}">
      <text>
        <r>
          <rPr>
            <sz val="12"/>
            <color theme="1"/>
            <rFont val="Aptos Narrow"/>
          </rPr>
          <t>Month 3, Week 4. Weekly operations generated $1,210.00 of revenue, incurred $968.00 of transport expense, and paid a $150.00 owner draw, increasing the bank balance by $92.00.</t>
        </r>
      </text>
    </comment>
    <comment ref="C42" authorId="0" shapeId="0" xr:uid="{00000000-0006-0000-0200-000012000000}">
      <text>
        <r>
          <rPr>
            <sz val="12"/>
            <color theme="1"/>
            <rFont val="Aptos Narrow"/>
          </rPr>
          <t>Month 3 adjustment. Monthly owner draws of $600.00 are consolidated into Joe's Capital.</t>
        </r>
      </text>
    </comment>
    <comment ref="C43" authorId="0" shapeId="0" xr:uid="{00000000-0006-0000-0200-000013000000}">
      <text>
        <r>
          <rPr>
            <sz val="12"/>
            <color rgb="FF000000"/>
            <rFont val="Aptos Narrow"/>
          </rPr>
          <t>Month 3 closing entry. Revenue of $4,840.00 and transport expense of $3,872.00 are closed to Joe's Capital, increasing capital by $968.00.</t>
        </r>
      </text>
    </comment>
    <comment ref="C44" authorId="0" shapeId="0" xr:uid="{00000000-0006-0000-0200-000014000000}">
      <text>
        <r>
          <rPr>
            <sz val="12"/>
            <color theme="1"/>
            <rFont val="Aptos Narrow"/>
          </rPr>
          <t>Month 4, Week 1. Weekly operations generated $1,331.00 of revenue, incurred $1,064.80 of transport expense, and paid a $150.00 owner draw, increasing the bank balance by $116.20.</t>
        </r>
      </text>
    </comment>
    <comment ref="C45" authorId="0" shapeId="0" xr:uid="{00000000-0006-0000-0200-000015000000}">
      <text>
        <r>
          <rPr>
            <sz val="12"/>
            <color theme="1"/>
            <rFont val="Aptos Narrow"/>
          </rPr>
          <t>Month 4, Week 2. Weekly operations generated $1,331.00 of revenue, incurred $1,064.80 of transport expense, and paid a $150.00 owner draw, increasing the bank balance by $116.20.</t>
        </r>
      </text>
    </comment>
    <comment ref="C46" authorId="0" shapeId="0" xr:uid="{00000000-0006-0000-0200-000016000000}">
      <text>
        <r>
          <rPr>
            <sz val="12"/>
            <color theme="1"/>
            <rFont val="Aptos Narrow"/>
          </rPr>
          <t>Month 4, Week 3. Weekly operations generated $1,331.00 of revenue, incurred $1,064.80 of transport expense, and paid a $150.00 owner draw, increasing the bank balance by $116.20.</t>
        </r>
      </text>
    </comment>
    <comment ref="C47" authorId="0" shapeId="0" xr:uid="{00000000-0006-0000-0200-000017000000}">
      <text>
        <r>
          <rPr>
            <sz val="12"/>
            <color theme="1"/>
            <rFont val="Aptos Narrow"/>
          </rPr>
          <t>Month 4, Week 4. Weekly operations generated $1,331.00 of revenue, incurred $1,064.80 of transport expense, and paid a $150.00 owner draw, increasing the bank balance by $116.20.</t>
        </r>
      </text>
    </comment>
    <comment ref="C48" authorId="0" shapeId="0" xr:uid="{00000000-0006-0000-0200-000018000000}">
      <text>
        <r>
          <rPr>
            <sz val="12"/>
            <color theme="1"/>
            <rFont val="Aptos Narrow"/>
          </rPr>
          <t>One-time owner draw of $1,000.00. The additional draw reduces Joe's Capital and the bank balance by $1,000.00.</t>
        </r>
      </text>
    </comment>
    <comment ref="C49" authorId="0" shapeId="0" xr:uid="{00000000-0006-0000-0200-000019000000}">
      <text>
        <r>
          <rPr>
            <sz val="12"/>
            <color theme="1"/>
            <rFont val="Aptos Narrow"/>
          </rPr>
          <t>Month 4 adjustment. Monthly owner draws of $1,600.00 are consolidated into Joe's Capital.</t>
        </r>
      </text>
    </comment>
    <comment ref="C50" authorId="0" shapeId="0" xr:uid="{00000000-0006-0000-0200-00001A000000}">
      <text>
        <r>
          <rPr>
            <sz val="12"/>
            <color rgb="FF000000"/>
            <rFont val="Aptos Narrow"/>
          </rPr>
          <t>Month 4 closing entry. Revenue of $5,324.00 and transport expense of $4,259.20 are closed to Joe's Capital, increasing capital by $1,064.80.</t>
        </r>
      </text>
    </comment>
  </commentList>
</comments>
</file>

<file path=xl/sharedStrings.xml><?xml version="1.0" encoding="utf-8"?>
<sst xmlns="http://schemas.openxmlformats.org/spreadsheetml/2006/main" count="616" uniqueCount="272">
  <si>
    <t>Positions, Income Statament and &amp; Balance Sheet</t>
  </si>
  <si>
    <t>TIME :</t>
  </si>
  <si>
    <t>ACCOUNT</t>
  </si>
  <si>
    <t>BANK</t>
  </si>
  <si>
    <t>TRANSPORT</t>
  </si>
  <si>
    <t>OWN_DRAW</t>
  </si>
  <si>
    <t>REVENUE</t>
  </si>
  <si>
    <t>CAPITAL</t>
  </si>
  <si>
    <t>POSITIONS</t>
  </si>
  <si>
    <t>INCOME STATEMENT</t>
  </si>
  <si>
    <t>BALANCE SHEET</t>
  </si>
  <si>
    <t>Bank Bal</t>
  </si>
  <si>
    <t>Revenue</t>
  </si>
  <si>
    <t xml:space="preserve">      Liabilities</t>
  </si>
  <si>
    <t xml:space="preserve">        Transport</t>
  </si>
  <si>
    <t xml:space="preserve">     Own Draw</t>
  </si>
  <si>
    <t xml:space="preserve">     Curr. Period Profit</t>
  </si>
  <si>
    <t xml:space="preserve">       PROFIT</t>
  </si>
  <si>
    <t xml:space="preserve">     TOTAL</t>
  </si>
  <si>
    <t>Columns Sums =&gt;</t>
  </si>
  <si>
    <t>ACCOUNTS =&gt;</t>
  </si>
  <si>
    <t xml:space="preserve">BANK </t>
  </si>
  <si>
    <t xml:space="preserve">TRANSPORT </t>
  </si>
  <si>
    <t xml:space="preserve">OWN_DRAW </t>
  </si>
  <si>
    <t xml:space="preserve">REVENUE </t>
  </si>
  <si>
    <t>CREDIT/DEBIT =&gt;</t>
  </si>
  <si>
    <t>DEBITS</t>
  </si>
  <si>
    <t>CREDITS</t>
  </si>
  <si>
    <t>TYPE [+/-] =&gt;</t>
  </si>
  <si>
    <t xml:space="preserve">ΔA+ </t>
  </si>
  <si>
    <t xml:space="preserve">ΔA- </t>
  </si>
  <si>
    <t xml:space="preserve"> ΔE+   </t>
  </si>
  <si>
    <t xml:space="preserve">ΔE- </t>
  </si>
  <si>
    <t>. ΔC+   ,</t>
  </si>
  <si>
    <t xml:space="preserve">  ΔC- ,     </t>
  </si>
  <si>
    <t xml:space="preserve"> ΔI+  </t>
  </si>
  <si>
    <t>  ΔI-   </t>
  </si>
  <si>
    <t>COMMENT</t>
  </si>
  <si>
    <t>SHORT_NAME =&gt;</t>
  </si>
  <si>
    <t>BNK_p</t>
  </si>
  <si>
    <t>BNK_m</t>
  </si>
  <si>
    <t>TRN_p</t>
  </si>
  <si>
    <t>TRN_m</t>
  </si>
  <si>
    <t>ODW_p</t>
  </si>
  <si>
    <t>ODW_m</t>
  </si>
  <si>
    <t>REV_p</t>
  </si>
  <si>
    <t>REV_m</t>
  </si>
  <si>
    <t>JCAP_p</t>
  </si>
  <si>
    <t>JCAP_m</t>
  </si>
  <si>
    <t>DIFF</t>
  </si>
  <si>
    <t>inception</t>
  </si>
  <si>
    <t>m1.w1</t>
  </si>
  <si>
    <t>m1.w2</t>
  </si>
  <si>
    <t>m1.w3</t>
  </si>
  <si>
    <t>m1.w4</t>
  </si>
  <si>
    <t>m1.adj1</t>
  </si>
  <si>
    <t>m1.close</t>
  </si>
  <si>
    <t>m2.w1</t>
  </si>
  <si>
    <t xml:space="preserve"> </t>
  </si>
  <si>
    <t>m2.w2</t>
  </si>
  <si>
    <t>m2.w3</t>
  </si>
  <si>
    <t>m2.w4</t>
  </si>
  <si>
    <t>m2.adj1</t>
  </si>
  <si>
    <t>m2.close</t>
  </si>
  <si>
    <t>m3.w1</t>
  </si>
  <si>
    <t>m3.w2</t>
  </si>
  <si>
    <t>m3.w3</t>
  </si>
  <si>
    <t>m3.w4</t>
  </si>
  <si>
    <t>m3.adj1</t>
  </si>
  <si>
    <t>m3.close</t>
  </si>
  <si>
    <t>m4.w1</t>
  </si>
  <si>
    <t>m4.w2</t>
  </si>
  <si>
    <t>m4.w3</t>
  </si>
  <si>
    <t>m4.w4</t>
  </si>
  <si>
    <t>m4.w4.1</t>
  </si>
  <si>
    <t>m4.adj1</t>
  </si>
  <si>
    <t>m4.close</t>
  </si>
  <si>
    <t>Month 1 assumptions</t>
  </si>
  <si>
    <t>Weekly revenue: $1,000</t>
  </si>
  <si>
    <t>Weekly operating expenses: $800</t>
  </si>
  <si>
    <t>Weekly owner draw: $150</t>
  </si>
  <si>
    <t>Opening position (Day 1)</t>
  </si>
  <si>
    <t>No assets, liabilities, or capital.</t>
  </si>
  <si>
    <t>Bank balance: $0.</t>
  </si>
  <si>
    <t>Accounting assumptions</t>
  </si>
  <si>
    <t>Revenue and expenses increase by 10% at the start of each new month.</t>
  </si>
  <si>
    <t>The weekly owner draw remains fixed at $150.</t>
  </si>
  <si>
    <t>Show account balances, Income Statements, and Balance Sheets for the four-month period.</t>
  </si>
  <si>
    <t>Chart of Accounts</t>
  </si>
  <si>
    <t>Acc. Name</t>
  </si>
  <si>
    <t>Type</t>
  </si>
  <si>
    <t>Income</t>
  </si>
  <si>
    <t>Expense</t>
  </si>
  <si>
    <t>Capital</t>
  </si>
  <si>
    <t>Asset</t>
  </si>
  <si>
    <t>Journal-ID</t>
  </si>
  <si>
    <t>Account</t>
  </si>
  <si>
    <t>Debit</t>
  </si>
  <si>
    <t>Credit</t>
  </si>
  <si>
    <t>Description</t>
  </si>
  <si>
    <t>Initial state of the accounting system.</t>
  </si>
  <si>
    <t>m1.w1.1</t>
  </si>
  <si>
    <t>m1.w1.2</t>
  </si>
  <si>
    <t>m1.w1.3</t>
  </si>
  <si>
    <t>m1.w1.4</t>
  </si>
  <si>
    <t>Week 1 revenue, transport expense, owner draw, and resulting bank activity.</t>
  </si>
  <si>
    <t>m1.w2.1</t>
  </si>
  <si>
    <t>m1.w2.2</t>
  </si>
  <si>
    <t>m1.w2.3</t>
  </si>
  <si>
    <t>m1.w2.4</t>
  </si>
  <si>
    <t>Week 2 revenue, transport expense, owner draw, and resulting bank activity.</t>
  </si>
  <si>
    <t>m1.w3.1</t>
  </si>
  <si>
    <t>m1.w3.2</t>
  </si>
  <si>
    <t>m1.w3.3</t>
  </si>
  <si>
    <t>m1.w3.4</t>
  </si>
  <si>
    <t>Week 3 revenue, transport expense, owner draw, and resulting bank activity.</t>
  </si>
  <si>
    <t>m1.w4.1</t>
  </si>
  <si>
    <t>m1.w4.2</t>
  </si>
  <si>
    <t>m1.w4.3</t>
  </si>
  <si>
    <t>m1.w4.4</t>
  </si>
  <si>
    <t>Week 4 revenue, transport expense, owner draw, and resulting bank activity.</t>
  </si>
  <si>
    <t>m1.adj1.1</t>
  </si>
  <si>
    <t>m1.adj1.2</t>
  </si>
  <si>
    <t>month-end adjustment ( consolidates owners draw to capital)</t>
  </si>
  <si>
    <t>m1.close.1</t>
  </si>
  <si>
    <t>m1.close.2</t>
  </si>
  <si>
    <t>m1.close.3</t>
  </si>
  <si>
    <t>m2.w1.1</t>
  </si>
  <si>
    <t>m2.w1.2</t>
  </si>
  <si>
    <t>m2.w1.3</t>
  </si>
  <si>
    <t>m2.w1.4</t>
  </si>
  <si>
    <t>m2.w2.1</t>
  </si>
  <si>
    <t>m2.w2.2</t>
  </si>
  <si>
    <t>m2.w2.3</t>
  </si>
  <si>
    <t>m2.w2.4</t>
  </si>
  <si>
    <t>m2.w3.1</t>
  </si>
  <si>
    <t>m2.w3.2</t>
  </si>
  <si>
    <t>m2.w3.3</t>
  </si>
  <si>
    <t>m2.w3.4</t>
  </si>
  <si>
    <t>m2.w4.1</t>
  </si>
  <si>
    <t>m2.w4.2</t>
  </si>
  <si>
    <t>m2.w4.3</t>
  </si>
  <si>
    <t>m2.w4.4</t>
  </si>
  <si>
    <t>m2.adj1.1</t>
  </si>
  <si>
    <t>m2.adj1.2</t>
  </si>
  <si>
    <t>m2.close.1</t>
  </si>
  <si>
    <t>m2.close.2</t>
  </si>
  <si>
    <t>m2.close.3</t>
  </si>
  <si>
    <t>m3.w1.1</t>
  </si>
  <si>
    <t>m3.w1.2</t>
  </si>
  <si>
    <t>m3.w1.3</t>
  </si>
  <si>
    <t>m3.w1.4</t>
  </si>
  <si>
    <t>m3.w2.1</t>
  </si>
  <si>
    <t>m3.w2.2</t>
  </si>
  <si>
    <t>m3.w2.3</t>
  </si>
  <si>
    <t>m3.w2.4</t>
  </si>
  <si>
    <t>m3.w3.1</t>
  </si>
  <si>
    <t>m3.w3.2</t>
  </si>
  <si>
    <t>m3.w3.3</t>
  </si>
  <si>
    <t>m3.w3.4</t>
  </si>
  <si>
    <t>m3.w4.1</t>
  </si>
  <si>
    <t>m3.w4.2</t>
  </si>
  <si>
    <t>m3.w4.3</t>
  </si>
  <si>
    <t>m3.w4.4</t>
  </si>
  <si>
    <t>m3.adj1.1</t>
  </si>
  <si>
    <t>m3.adj1.2</t>
  </si>
  <si>
    <t>m3.close.1</t>
  </si>
  <si>
    <t>m3.close.2</t>
  </si>
  <si>
    <t>m3.close.3</t>
  </si>
  <si>
    <t>m4.w1.1</t>
  </si>
  <si>
    <t>m4.w1.2</t>
  </si>
  <si>
    <t>m4.w1.3</t>
  </si>
  <si>
    <t>m4.w1.4</t>
  </si>
  <si>
    <t>m4.w2.1</t>
  </si>
  <si>
    <t>m4.w2.2</t>
  </si>
  <si>
    <t>m4.w2.3</t>
  </si>
  <si>
    <t>m4.w2.4</t>
  </si>
  <si>
    <t>m4.w3.1</t>
  </si>
  <si>
    <t>m4.w3.2</t>
  </si>
  <si>
    <t>m4.w3.3</t>
  </si>
  <si>
    <t>m4.w3.4</t>
  </si>
  <si>
    <t>m4.w4.2</t>
  </si>
  <si>
    <t>m4.w4.3</t>
  </si>
  <si>
    <t>m4.w4.4</t>
  </si>
  <si>
    <t>m4.w4.1.1</t>
  </si>
  <si>
    <t>m4.w4.1.2</t>
  </si>
  <si>
    <t>one-time additional owner draw of $1,000.</t>
  </si>
  <si>
    <t>m4.adj1.1</t>
  </si>
  <si>
    <t>m4.adj1.2</t>
  </si>
  <si>
    <t>m4.close.1</t>
  </si>
  <si>
    <t>m4.close.2</t>
  </si>
  <si>
    <t>m4.close.3</t>
  </si>
  <si>
    <t>Running Balance</t>
  </si>
  <si>
    <t>BANK [ ASSET]</t>
  </si>
  <si>
    <t>TRANSPORT [ EXPENSE ]</t>
  </si>
  <si>
    <t>OWN_DRAW [ CAPITAL ]</t>
  </si>
  <si>
    <t>REVENUE [ INCOME ]</t>
  </si>
  <si>
    <t>inflow</t>
  </si>
  <si>
    <t>outflow</t>
  </si>
  <si>
    <t>ΔA</t>
  </si>
  <si>
    <t xml:space="preserve"> ΔE</t>
  </si>
  <si>
    <t xml:space="preserve"> ΔI</t>
  </si>
  <si>
    <t>ΔC</t>
  </si>
  <si>
    <t>CHECK</t>
  </si>
  <si>
    <t>BNK</t>
  </si>
  <si>
    <t>TRN</t>
  </si>
  <si>
    <t>ODW</t>
  </si>
  <si>
    <t>REV</t>
  </si>
  <si>
    <t>JCAP</t>
  </si>
  <si>
    <t>A Sole Proprietor’s Single-Entry Accounting System</t>
  </si>
  <si>
    <t>A Sole Proprietor’s Double-Entry Accounting System</t>
  </si>
  <si>
    <t>SELECT
REPORT</t>
  </si>
  <si>
    <t>A Sole Proprietor’s  Accounting System</t>
  </si>
  <si>
    <t>Sole Proprietor starts a  business under a fixed contract.</t>
  </si>
  <si>
    <t xml:space="preserve">Sole Proprietor records one transaction per week. </t>
  </si>
  <si>
    <t>An Income Statement and intra-period Balance Sheet is to be  avaliable  after each transaction.</t>
  </si>
  <si>
    <t>The books are closed at the end of each month and an end-of-period Balance Sheet is avaliable.</t>
  </si>
  <si>
    <t>Within each month, weekly revenue and expenses are constant.</t>
  </si>
  <si>
    <t>At the end of Month 4, Proprietor takes an additional one-time owner draw of $1,000.</t>
  </si>
  <si>
    <t xml:space="preserve">PROP_CAP </t>
  </si>
  <si>
    <t>( DOUBLE-ENTRY SYSTEM)</t>
  </si>
  <si>
    <t xml:space="preserve"> LEDGER OF ACCOUNTS </t>
  </si>
  <si>
    <t xml:space="preserve">   JOURNAL OF TRANACTIONS </t>
  </si>
  <si>
    <t xml:space="preserve">       ( DOUBLE-ENTRY SYSTEM)</t>
  </si>
  <si>
    <t>PROP_CAP [ CAPITAL ]</t>
  </si>
  <si>
    <t>At month-end, the  OWN_DRAW account is closed into the  PROP_CAP account.</t>
  </si>
  <si>
    <t>PROP_CAP</t>
  </si>
  <si>
    <t xml:space="preserve">      Prop_Cap</t>
  </si>
  <si>
    <t>EOM, Close temporary accounts to Prop Capital.</t>
  </si>
  <si>
    <t>EOM, lose temporary accounts to Prop Capital.</t>
  </si>
  <si>
    <t>Quick Start</t>
  </si>
  <si>
    <t>Getting Started</t>
  </si>
  <si>
    <t>1. Open the DOUBLE-ENTRY-SYSTEM sheet.</t>
  </si>
  <si>
    <t>2. Locate the Select Report column.</t>
  </si>
  <si>
    <t>3. Select a reporting date (for example, m1.w2).</t>
  </si>
  <si>
    <t>4. Review the automatically generated:</t>
  </si>
  <si>
    <t xml:space="preserve">    * Account Positions</t>
  </si>
  <si>
    <t xml:space="preserve">    * Income Statement</t>
  </si>
  <si>
    <t xml:space="preserve">    * Balance Sheet (Intra-Period or End-of-Period)</t>
  </si>
  <si>
    <t>5. Repeat for other reporting dates to observe how financial statements evolve through time.</t>
  </si>
  <si>
    <t>Sheet Guide</t>
  </si>
  <si>
    <t>ACC SYSTEM SPEC.</t>
  </si>
  <si>
    <t>Describes the economic scenario used in the example.</t>
  </si>
  <si>
    <t>CHART-OF-ACCOUNTS</t>
  </si>
  <si>
    <t>Defines the account structure used throughout the workbook.</t>
  </si>
  <si>
    <t>SINGLE-ENTRY-SYSTEM</t>
  </si>
  <si>
    <t>Single-entry representation of the transaction matrix.</t>
  </si>
  <si>
    <t>DOUBLE-ENTRY-SYSTEM</t>
  </si>
  <si>
    <t>Double-entry representation of the transaction matrix.</t>
  </si>
  <si>
    <t>JOURNAL</t>
  </si>
  <si>
    <t>Traditional journal view of the double-entry transactions.</t>
  </si>
  <si>
    <t>LEDGER</t>
  </si>
  <si>
    <t>Traditional ledger view of the double-entry ledger of accounts.</t>
  </si>
  <si>
    <t>Important Note</t>
  </si>
  <si>
    <t>Reports may be generated at any transaction point. Intra-period reports generally display current-period income and expense balances, while end-of-period reports reflect the effects of the closing process.</t>
  </si>
  <si>
    <t>Because closing entries transfer income and expense balances to the Capital account, the Income Statement associated with an end-of-period report will generally be zero. To view the Income Statement for a particular period, select the report immediately preceding the closing transaction.</t>
  </si>
  <si>
    <t>This behavior is common to conventional accounting systems and is not unique to the framework presented in this workbook.</t>
  </si>
  <si>
    <t>This workbook demonstrates a multiperiod accounting system represented in a single transaction table. From the transaction history, the workbook automatically generates: Account Positions, Income Statements, Intra-Period Balance Sheets, and End-of-Period Balance Sheets.</t>
  </si>
  <si>
    <t>The workbook permits financial statements to be generated at any arbitrary transaction points rather than only at predefined reporting dates.</t>
  </si>
  <si>
    <t>Closed-System =&gt; INFLOWS =&gt; Income =&gt; REVENUE</t>
  </si>
  <si>
    <t>Closed-System =&gt; OUTFLOWS =&gt; Expense =&gt; TRANSPORT</t>
  </si>
  <si>
    <t>Closed-System =&gt; INFLOWS =&gt; Capital =&gt; OWN_DRAW</t>
  </si>
  <si>
    <t>Closed-System =&gt; OUTFLOWS =&gt; Asset =&gt; BANK</t>
  </si>
  <si>
    <t>Closed-System =&gt; INFLOWS =&gt; Capital =&gt; PROP_CAP</t>
  </si>
  <si>
    <r>
      <t>Note:</t>
    </r>
    <r>
      <rPr>
        <sz val="20"/>
        <color theme="1"/>
        <rFont val="Aptos Narrow"/>
      </rPr>
      <t xml:space="preserve"> Each account is associated with a terminal path originating at the </t>
    </r>
  </si>
  <si>
    <t xml:space="preserve">root node Closed-System. The terminal path uniquely identifies the </t>
  </si>
  <si>
    <t>account’s location within the recursive partition hierarchy.</t>
  </si>
  <si>
    <t xml:space="preserve"> Parent accounts and higher-level reporting categories are </t>
  </si>
  <si>
    <t>obtained through aggregation of terminal paths sharing a common prefix.</t>
  </si>
  <si>
    <t>Teminal Paths. ( Transaction Matrix Columns)</t>
  </si>
  <si>
    <t>and encodes the complete ancestry of the account from the root</t>
  </si>
  <si>
    <t>node to the terminal  node.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</si>
</sst>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 x14ac:knownFonts="1">
    <font>
      <sz val="12"/>
      <color theme="1"/>
      <name val="Aptos Narrow"/>
    </font>
    <font>
      <sz val="12"/>
      <color theme="1"/>
      <name val="Aptos Narrow"/>
    </font>
    <font>
      <sz val="12"/>
      <color rgb="FF0E0E0E"/>
      <name val="Times New Roman"/>
      <family val="1"/>
    </font>
    <font>
      <b/>
      <sz val="12"/>
      <color theme="1"/>
      <name val="Aptos Narrow"/>
    </font>
    <font>
      <sz val="14"/>
      <color theme="1"/>
      <name val="Aptos Narrow"/>
    </font>
    <font>
      <sz val="16"/>
      <color theme="1"/>
      <name val="Aptos Narrow"/>
    </font>
    <font>
      <b/>
      <sz val="14"/>
      <color theme="1"/>
      <name val="Aptos Narrow"/>
    </font>
    <font>
      <b/>
      <sz val="16"/>
      <color theme="1"/>
      <name val="Aptos Narrow"/>
    </font>
    <font>
      <b/>
      <sz val="18"/>
      <color theme="1"/>
      <name val="Aptos Narrow"/>
    </font>
    <font>
      <sz val="14"/>
      <color theme="1"/>
      <name val="Aptos Narrow"/>
    </font>
    <font>
      <b/>
      <sz val="22"/>
      <color theme="1"/>
      <name val="Aptos Narrow"/>
    </font>
    <font>
      <i/>
      <sz val="12"/>
      <color rgb="FF555555"/>
      <name val="Aptos Narrow"/>
    </font>
    <font>
      <b/>
      <i/>
      <sz val="12"/>
      <color rgb="FF555555"/>
      <name val="Aptos Narrow"/>
    </font>
    <font>
      <b/>
      <sz val="24"/>
      <color theme="1"/>
      <name val="Aptos Narrow"/>
    </font>
    <font>
      <sz val="12"/>
      <color rgb="FF000000"/>
      <name val="Aptos Narrow"/>
    </font>
    <font>
      <b/>
      <sz val="16"/>
      <color rgb="FF0E0E0E"/>
      <name val="Times New Roman"/>
      <family val="1"/>
    </font>
    <font>
      <sz val="18"/>
      <color theme="1"/>
      <name val="Aptos Narrow"/>
    </font>
    <font>
      <b/>
      <sz val="26"/>
      <color theme="1"/>
      <name val="Aptos Narrow"/>
    </font>
    <font>
      <b/>
      <sz val="36"/>
      <color theme="1"/>
      <name val="Aptos Narrow"/>
    </font>
    <font>
      <b/>
      <sz val="48"/>
      <color theme="1"/>
      <name val="Aptos Narrow"/>
    </font>
    <font>
      <sz val="24"/>
      <color theme="1"/>
      <name val="Aptos Narrow"/>
    </font>
    <font>
      <sz val="28"/>
      <color theme="1"/>
      <name val="Aptos Narrow"/>
    </font>
    <font>
      <b/>
      <sz val="30"/>
      <color theme="1"/>
      <name val="Aptos Narrow"/>
    </font>
    <font>
      <b/>
      <sz val="20"/>
      <color theme="1"/>
      <name val="Aptos Narrow"/>
    </font>
    <font>
      <sz val="20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5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/>
  </cellStyleXfs>
  <cellXfs count="155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164" fontId="0" fillId="0" borderId="0" xfId="0" applyNumberFormat="1"/>
    <xf numFmtId="4" fontId="0" fillId="0" borderId="0" xfId="0" applyNumberFormat="1"/>
    <xf numFmtId="4" fontId="3" fillId="0" borderId="12" xfId="0" applyNumberFormat="1" applyFont="1" applyBorder="1"/>
    <xf numFmtId="4" fontId="0" fillId="0" borderId="4" xfId="0" applyNumberFormat="1" applyBorder="1"/>
    <xf numFmtId="4" fontId="3" fillId="0" borderId="4" xfId="0" applyNumberFormat="1" applyFont="1" applyBorder="1" applyAlignment="1">
      <alignment horizontal="left"/>
    </xf>
    <xf numFmtId="4" fontId="3" fillId="0" borderId="12" xfId="0" applyNumberFormat="1" applyFont="1" applyBorder="1" applyAlignment="1">
      <alignment horizontal="left"/>
    </xf>
    <xf numFmtId="4" fontId="0" fillId="0" borderId="11" xfId="0" applyNumberFormat="1" applyBorder="1" applyAlignment="1">
      <alignment horizontal="center"/>
    </xf>
    <xf numFmtId="4" fontId="0" fillId="0" borderId="6" xfId="0" applyNumberFormat="1" applyBorder="1"/>
    <xf numFmtId="4" fontId="4" fillId="0" borderId="0" xfId="0" applyNumberFormat="1" applyFont="1"/>
    <xf numFmtId="4" fontId="4" fillId="0" borderId="5" xfId="0" applyNumberFormat="1" applyFont="1" applyBorder="1"/>
    <xf numFmtId="4" fontId="4" fillId="0" borderId="13" xfId="0" applyNumberFormat="1" applyFont="1" applyBorder="1"/>
    <xf numFmtId="4" fontId="4" fillId="0" borderId="14" xfId="0" applyNumberFormat="1" applyFont="1" applyBorder="1"/>
    <xf numFmtId="4" fontId="9" fillId="0" borderId="5" xfId="0" applyNumberFormat="1" applyFont="1" applyBorder="1"/>
    <xf numFmtId="4" fontId="6" fillId="0" borderId="13" xfId="0" applyNumberFormat="1" applyFont="1" applyBorder="1" applyAlignment="1">
      <alignment horizontal="center"/>
    </xf>
    <xf numFmtId="4" fontId="6" fillId="0" borderId="14" xfId="0" applyNumberFormat="1" applyFont="1" applyBorder="1"/>
    <xf numFmtId="0" fontId="5" fillId="0" borderId="0" xfId="0" applyFont="1"/>
    <xf numFmtId="4" fontId="6" fillId="0" borderId="9" xfId="0" applyNumberFormat="1" applyFont="1" applyBorder="1"/>
    <xf numFmtId="4" fontId="6" fillId="0" borderId="2" xfId="0" applyNumberFormat="1" applyFont="1" applyBorder="1" applyAlignment="1">
      <alignment horizontal="right"/>
    </xf>
    <xf numFmtId="4" fontId="6" fillId="0" borderId="3" xfId="0" applyNumberFormat="1" applyFont="1" applyBorder="1" applyAlignment="1">
      <alignment horizontal="right"/>
    </xf>
    <xf numFmtId="0" fontId="10" fillId="0" borderId="0" xfId="0" applyFont="1"/>
    <xf numFmtId="4" fontId="4" fillId="0" borderId="0" xfId="0" applyNumberFormat="1" applyFont="1" applyAlignment="1">
      <alignment horizontal="right"/>
    </xf>
    <xf numFmtId="4" fontId="6" fillId="0" borderId="1" xfId="0" applyNumberFormat="1" applyFont="1" applyBorder="1"/>
    <xf numFmtId="4" fontId="9" fillId="0" borderId="2" xfId="0" applyNumberFormat="1" applyFont="1" applyBorder="1"/>
    <xf numFmtId="4" fontId="9" fillId="0" borderId="3" xfId="0" applyNumberFormat="1" applyFont="1" applyBorder="1"/>
    <xf numFmtId="4" fontId="9" fillId="0" borderId="7" xfId="0" applyNumberFormat="1" applyFont="1" applyBorder="1"/>
    <xf numFmtId="4" fontId="9" fillId="0" borderId="8" xfId="0" applyNumberFormat="1" applyFont="1" applyBorder="1"/>
    <xf numFmtId="4" fontId="6" fillId="0" borderId="2" xfId="0" applyNumberFormat="1" applyFont="1" applyBorder="1"/>
    <xf numFmtId="4" fontId="6" fillId="0" borderId="6" xfId="0" applyNumberFormat="1" applyFont="1" applyBorder="1"/>
    <xf numFmtId="0" fontId="7" fillId="0" borderId="0" xfId="0" applyFont="1"/>
    <xf numFmtId="4" fontId="3" fillId="0" borderId="0" xfId="0" applyNumberFormat="1" applyFont="1"/>
    <xf numFmtId="4" fontId="6" fillId="2" borderId="4" xfId="1" applyNumberFormat="1" applyFont="1" applyFill="1" applyBorder="1" applyAlignment="1">
      <alignment horizontal="center" vertical="center"/>
    </xf>
    <xf numFmtId="4" fontId="6" fillId="2" borderId="5" xfId="0" applyNumberFormat="1" applyFont="1" applyFill="1" applyBorder="1" applyAlignment="1">
      <alignment horizontal="center" vertical="center"/>
    </xf>
    <xf numFmtId="4" fontId="6" fillId="2" borderId="4" xfId="0" applyNumberFormat="1" applyFont="1" applyFill="1" applyBorder="1" applyAlignment="1">
      <alignment horizontal="center" vertical="center"/>
    </xf>
    <xf numFmtId="4" fontId="6" fillId="2" borderId="5" xfId="1" applyNumberFormat="1" applyFont="1" applyFill="1" applyBorder="1" applyAlignment="1">
      <alignment horizontal="center" vertical="center"/>
    </xf>
    <xf numFmtId="4" fontId="3" fillId="0" borderId="4" xfId="0" applyNumberFormat="1" applyFont="1" applyBorder="1"/>
    <xf numFmtId="4" fontId="0" fillId="0" borderId="4" xfId="0" applyNumberForma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3" fillId="4" borderId="0" xfId="0" applyFont="1" applyFill="1" applyAlignment="1">
      <alignment wrapText="1"/>
    </xf>
    <xf numFmtId="4" fontId="3" fillId="4" borderId="0" xfId="0" applyNumberFormat="1" applyFont="1" applyFill="1" applyAlignment="1">
      <alignment wrapText="1"/>
    </xf>
    <xf numFmtId="0" fontId="11" fillId="5" borderId="0" xfId="0" applyFont="1" applyFill="1" applyAlignment="1">
      <alignment wrapText="1"/>
    </xf>
    <xf numFmtId="4" fontId="11" fillId="5" borderId="0" xfId="0" applyNumberFormat="1" applyFont="1" applyFill="1" applyAlignment="1">
      <alignment wrapText="1"/>
    </xf>
    <xf numFmtId="4" fontId="3" fillId="4" borderId="0" xfId="0" applyNumberFormat="1" applyFont="1" applyFill="1" applyAlignment="1">
      <alignment horizontal="center" wrapText="1"/>
    </xf>
    <xf numFmtId="4" fontId="0" fillId="0" borderId="0" xfId="0" applyNumberFormat="1" applyAlignment="1">
      <alignment horizontal="center" wrapText="1"/>
    </xf>
    <xf numFmtId="0" fontId="11" fillId="5" borderId="0" xfId="0" applyFont="1" applyFill="1" applyAlignment="1">
      <alignment horizontal="center" wrapText="1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4" fontId="11" fillId="5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4" fontId="12" fillId="5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3" fillId="0" borderId="0" xfId="0" applyFont="1"/>
    <xf numFmtId="4" fontId="4" fillId="0" borderId="9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" fontId="4" fillId="0" borderId="11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" fontId="4" fillId="0" borderId="10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" fontId="6" fillId="0" borderId="4" xfId="1" applyNumberFormat="1" applyFont="1" applyBorder="1" applyAlignment="1">
      <alignment horizontal="center"/>
    </xf>
    <xf numFmtId="4" fontId="6" fillId="0" borderId="5" xfId="1" applyNumberFormat="1" applyFont="1" applyBorder="1" applyAlignment="1">
      <alignment horizontal="center"/>
    </xf>
    <xf numFmtId="4" fontId="0" fillId="0" borderId="15" xfId="0" applyNumberFormat="1" applyBorder="1"/>
    <xf numFmtId="0" fontId="0" fillId="0" borderId="12" xfId="0" applyBorder="1" applyAlignment="1">
      <alignment horizontal="center"/>
    </xf>
    <xf numFmtId="4" fontId="0" fillId="0" borderId="13" xfId="0" applyNumberFormat="1" applyBorder="1" applyAlignment="1">
      <alignment horizontal="center"/>
    </xf>
    <xf numFmtId="4" fontId="0" fillId="0" borderId="14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" fontId="0" fillId="0" borderId="2" xfId="0" applyNumberForma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7" xfId="0" applyNumberFormat="1" applyBorder="1" applyAlignment="1">
      <alignment horizontal="center"/>
    </xf>
    <xf numFmtId="4" fontId="15" fillId="0" borderId="4" xfId="0" applyNumberFormat="1" applyFont="1" applyBorder="1" applyAlignment="1">
      <alignment horizontal="center"/>
    </xf>
    <xf numFmtId="4" fontId="15" fillId="0" borderId="5" xfId="0" applyNumberFormat="1" applyFont="1" applyBorder="1" applyAlignment="1">
      <alignment horizontal="center"/>
    </xf>
    <xf numFmtId="4" fontId="6" fillId="0" borderId="6" xfId="0" applyNumberFormat="1" applyFont="1" applyBorder="1" applyAlignment="1">
      <alignment horizontal="center"/>
    </xf>
    <xf numFmtId="4" fontId="6" fillId="0" borderId="8" xfId="0" applyNumberFormat="1" applyFont="1" applyBorder="1" applyAlignment="1">
      <alignment horizontal="center"/>
    </xf>
    <xf numFmtId="4" fontId="6" fillId="0" borderId="16" xfId="0" applyNumberFormat="1" applyFont="1" applyBorder="1" applyAlignment="1">
      <alignment horizontal="center"/>
    </xf>
    <xf numFmtId="4" fontId="4" fillId="0" borderId="16" xfId="0" applyNumberFormat="1" applyFont="1" applyBorder="1" applyAlignment="1">
      <alignment horizontal="center"/>
    </xf>
    <xf numFmtId="4" fontId="6" fillId="0" borderId="17" xfId="0" applyNumberFormat="1" applyFont="1" applyBorder="1" applyAlignment="1">
      <alignment horizontal="center"/>
    </xf>
    <xf numFmtId="4" fontId="6" fillId="0" borderId="14" xfId="0" applyNumberFormat="1" applyFont="1" applyBorder="1" applyAlignment="1">
      <alignment horizontal="center"/>
    </xf>
    <xf numFmtId="4" fontId="8" fillId="0" borderId="11" xfId="1" applyNumberFormat="1" applyFont="1" applyBorder="1" applyAlignment="1">
      <alignment horizontal="center"/>
    </xf>
    <xf numFmtId="4" fontId="7" fillId="2" borderId="4" xfId="1" applyNumberFormat="1" applyFont="1" applyFill="1" applyBorder="1" applyAlignment="1">
      <alignment horizontal="center" vertical="center"/>
    </xf>
    <xf numFmtId="4" fontId="7" fillId="2" borderId="5" xfId="0" applyNumberFormat="1" applyFont="1" applyFill="1" applyBorder="1" applyAlignment="1">
      <alignment horizontal="center" vertical="center"/>
    </xf>
    <xf numFmtId="4" fontId="7" fillId="2" borderId="4" xfId="0" applyNumberFormat="1" applyFont="1" applyFill="1" applyBorder="1" applyAlignment="1">
      <alignment horizontal="center" vertical="center"/>
    </xf>
    <xf numFmtId="4" fontId="7" fillId="2" borderId="5" xfId="1" applyNumberFormat="1" applyFont="1" applyFill="1" applyBorder="1" applyAlignment="1">
      <alignment horizontal="center" vertical="center"/>
    </xf>
    <xf numFmtId="4" fontId="3" fillId="6" borderId="11" xfId="0" applyNumberFormat="1" applyFont="1" applyFill="1" applyBorder="1" applyAlignment="1">
      <alignment horizontal="center"/>
    </xf>
    <xf numFmtId="4" fontId="3" fillId="6" borderId="4" xfId="0" applyNumberFormat="1" applyFont="1" applyFill="1" applyBorder="1" applyAlignment="1">
      <alignment horizontal="center"/>
    </xf>
    <xf numFmtId="4" fontId="4" fillId="0" borderId="4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center"/>
    </xf>
    <xf numFmtId="4" fontId="4" fillId="0" borderId="11" xfId="0" applyNumberFormat="1" applyFont="1" applyBorder="1" applyAlignment="1">
      <alignment horizontal="center"/>
    </xf>
    <xf numFmtId="4" fontId="6" fillId="6" borderId="11" xfId="0" applyNumberFormat="1" applyFont="1" applyFill="1" applyBorder="1" applyAlignment="1">
      <alignment horizontal="center"/>
    </xf>
    <xf numFmtId="4" fontId="6" fillId="6" borderId="4" xfId="0" applyNumberFormat="1" applyFont="1" applyFill="1" applyBorder="1" applyAlignment="1">
      <alignment horizontal="center"/>
    </xf>
    <xf numFmtId="4" fontId="6" fillId="6" borderId="5" xfId="0" applyNumberFormat="1" applyFont="1" applyFill="1" applyBorder="1" applyAlignment="1">
      <alignment horizontal="center"/>
    </xf>
    <xf numFmtId="4" fontId="6" fillId="6" borderId="9" xfId="0" applyNumberFormat="1" applyFont="1" applyFill="1" applyBorder="1" applyAlignment="1">
      <alignment horizontal="center"/>
    </xf>
    <xf numFmtId="4" fontId="4" fillId="6" borderId="11" xfId="0" applyNumberFormat="1" applyFont="1" applyFill="1" applyBorder="1" applyAlignment="1">
      <alignment horizontal="center"/>
    </xf>
    <xf numFmtId="4" fontId="4" fillId="6" borderId="4" xfId="0" applyNumberFormat="1" applyFont="1" applyFill="1" applyBorder="1" applyAlignment="1">
      <alignment horizontal="center"/>
    </xf>
    <xf numFmtId="4" fontId="4" fillId="6" borderId="5" xfId="0" applyNumberFormat="1" applyFont="1" applyFill="1" applyBorder="1" applyAlignment="1">
      <alignment horizontal="center"/>
    </xf>
    <xf numFmtId="4" fontId="6" fillId="6" borderId="10" xfId="0" applyNumberFormat="1" applyFont="1" applyFill="1" applyBorder="1" applyAlignment="1">
      <alignment horizontal="center"/>
    </xf>
    <xf numFmtId="4" fontId="6" fillId="6" borderId="6" xfId="0" applyNumberFormat="1" applyFont="1" applyFill="1" applyBorder="1" applyAlignment="1">
      <alignment horizontal="center"/>
    </xf>
    <xf numFmtId="4" fontId="6" fillId="6" borderId="8" xfId="0" applyNumberFormat="1" applyFont="1" applyFill="1" applyBorder="1" applyAlignment="1">
      <alignment horizontal="center"/>
    </xf>
    <xf numFmtId="0" fontId="17" fillId="0" borderId="0" xfId="0" applyFont="1"/>
    <xf numFmtId="0" fontId="18" fillId="0" borderId="0" xfId="0" applyFont="1"/>
    <xf numFmtId="0" fontId="19" fillId="0" borderId="0" xfId="0" applyFont="1"/>
    <xf numFmtId="4" fontId="6" fillId="0" borderId="10" xfId="0" applyNumberFormat="1" applyFont="1" applyBorder="1"/>
    <xf numFmtId="4" fontId="4" fillId="0" borderId="7" xfId="0" applyNumberFormat="1" applyFont="1" applyBorder="1" applyAlignment="1">
      <alignment horizontal="right"/>
    </xf>
    <xf numFmtId="4" fontId="4" fillId="0" borderId="7" xfId="0" applyNumberFormat="1" applyFont="1" applyBorder="1"/>
    <xf numFmtId="4" fontId="4" fillId="0" borderId="8" xfId="0" applyNumberFormat="1" applyFont="1" applyBorder="1"/>
    <xf numFmtId="4" fontId="6" fillId="0" borderId="0" xfId="0" applyNumberFormat="1" applyFont="1"/>
    <xf numFmtId="4" fontId="9" fillId="0" borderId="0" xfId="0" applyNumberFormat="1" applyFont="1" applyAlignment="1">
      <alignment horizontal="right"/>
    </xf>
    <xf numFmtId="4" fontId="9" fillId="0" borderId="0" xfId="0" applyNumberFormat="1" applyFont="1"/>
    <xf numFmtId="4" fontId="4" fillId="0" borderId="4" xfId="0" applyNumberFormat="1" applyFont="1" applyBorder="1"/>
    <xf numFmtId="4" fontId="6" fillId="0" borderId="4" xfId="0" applyNumberFormat="1" applyFont="1" applyBorder="1" applyAlignment="1">
      <alignment horizontal="left"/>
    </xf>
    <xf numFmtId="4" fontId="6" fillId="0" borderId="12" xfId="0" applyNumberFormat="1" applyFont="1" applyBorder="1" applyAlignment="1">
      <alignment horizontal="left"/>
    </xf>
    <xf numFmtId="4" fontId="6" fillId="0" borderId="12" xfId="0" applyNumberFormat="1" applyFont="1" applyBorder="1"/>
    <xf numFmtId="4" fontId="6" fillId="0" borderId="13" xfId="0" applyNumberFormat="1" applyFont="1" applyBorder="1" applyAlignment="1">
      <alignment horizontal="right"/>
    </xf>
    <xf numFmtId="0" fontId="18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2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left" vertical="center"/>
    </xf>
    <xf numFmtId="4" fontId="12" fillId="7" borderId="0" xfId="0" applyNumberFormat="1" applyFont="1" applyFill="1" applyAlignment="1">
      <alignment horizontal="left" vertical="center"/>
    </xf>
    <xf numFmtId="0" fontId="3" fillId="7" borderId="0" xfId="0" applyFont="1" applyFill="1"/>
    <xf numFmtId="0" fontId="0" fillId="7" borderId="0" xfId="0" applyFill="1" applyAlignment="1">
      <alignment wrapText="1"/>
    </xf>
    <xf numFmtId="4" fontId="0" fillId="7" borderId="0" xfId="0" applyNumberFormat="1" applyFill="1" applyAlignment="1">
      <alignment wrapText="1"/>
    </xf>
    <xf numFmtId="4" fontId="0" fillId="7" borderId="0" xfId="0" applyNumberForma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0" fontId="8" fillId="4" borderId="0" xfId="0" applyFont="1" applyFill="1" applyAlignment="1">
      <alignment wrapText="1"/>
    </xf>
    <xf numFmtId="0" fontId="16" fillId="0" borderId="0" xfId="0" applyFont="1" applyAlignment="1">
      <alignment wrapText="1"/>
    </xf>
    <xf numFmtId="0" fontId="8" fillId="4" borderId="0" xfId="0" applyFont="1" applyFill="1"/>
    <xf numFmtId="0" fontId="13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1" fillId="0" borderId="0" xfId="0" applyFont="1"/>
    <xf numFmtId="0" fontId="20" fillId="0" borderId="0" xfId="0" applyFont="1" applyAlignment="1">
      <alignment wrapText="1"/>
    </xf>
    <xf numFmtId="0" fontId="18" fillId="7" borderId="0" xfId="0" applyFont="1" applyFill="1" applyAlignment="1">
      <alignment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4" fontId="8" fillId="0" borderId="11" xfId="1" applyNumberFormat="1" applyFont="1" applyBorder="1" applyAlignment="1">
      <alignment horizontal="center"/>
    </xf>
    <xf numFmtId="0" fontId="16" fillId="0" borderId="5" xfId="0" applyFont="1" applyBorder="1"/>
    <xf numFmtId="4" fontId="8" fillId="0" borderId="0" xfId="0" applyNumberFormat="1" applyFont="1" applyAlignment="1">
      <alignment horizontal="center" wrapText="1"/>
    </xf>
    <xf numFmtId="0" fontId="8" fillId="0" borderId="0" xfId="0" applyFont="1"/>
    <xf numFmtId="0" fontId="23" fillId="0" borderId="0" xfId="0" applyFont="1"/>
    <xf numFmtId="0" fontId="24" fillId="0" borderId="0" xfId="0" applyFont="1"/>
  </cellXfs>
  <cellStyles count="2">
    <cellStyle name="Comma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55CA-D6B6-F34F-9B41-81027572EDE0}">
  <dimension ref="B2:B79"/>
  <sheetViews>
    <sheetView showGridLines="0" tabSelected="1" topLeftCell="A2" workbookViewId="0">
      <selection activeCell="D13" sqref="D13"/>
    </sheetView>
  </sheetViews>
  <sheetFormatPr baseColWidth="10" defaultRowHeight="16" x14ac:dyDescent="0.2"/>
  <cols>
    <col min="1" max="1" width="6.5" customWidth="1"/>
    <col min="2" max="2" width="130.6640625" customWidth="1"/>
  </cols>
  <sheetData>
    <row r="2" spans="2:2" ht="48" x14ac:dyDescent="0.55000000000000004">
      <c r="B2" s="146" t="s">
        <v>230</v>
      </c>
    </row>
    <row r="3" spans="2:2" ht="32" x14ac:dyDescent="0.4">
      <c r="B3" s="145"/>
    </row>
    <row r="4" spans="2:2" ht="132" x14ac:dyDescent="0.4">
      <c r="B4" s="145" t="s">
        <v>257</v>
      </c>
    </row>
    <row r="5" spans="2:2" ht="32" x14ac:dyDescent="0.4">
      <c r="B5" s="145"/>
    </row>
    <row r="6" spans="2:2" ht="66" x14ac:dyDescent="0.4">
      <c r="B6" s="142" t="s">
        <v>258</v>
      </c>
    </row>
    <row r="7" spans="2:2" ht="32" x14ac:dyDescent="0.4">
      <c r="B7" s="145"/>
    </row>
    <row r="8" spans="2:2" ht="48" x14ac:dyDescent="0.55000000000000004">
      <c r="B8" s="146" t="s">
        <v>231</v>
      </c>
    </row>
    <row r="9" spans="2:2" ht="32" x14ac:dyDescent="0.4">
      <c r="B9" s="145"/>
    </row>
    <row r="10" spans="2:2" ht="33" x14ac:dyDescent="0.4">
      <c r="B10" s="145" t="s">
        <v>232</v>
      </c>
    </row>
    <row r="11" spans="2:2" ht="33" x14ac:dyDescent="0.4">
      <c r="B11" s="145" t="s">
        <v>233</v>
      </c>
    </row>
    <row r="12" spans="2:2" ht="33" x14ac:dyDescent="0.4">
      <c r="B12" s="145" t="s">
        <v>234</v>
      </c>
    </row>
    <row r="13" spans="2:2" ht="33" x14ac:dyDescent="0.4">
      <c r="B13" s="145" t="s">
        <v>235</v>
      </c>
    </row>
    <row r="14" spans="2:2" ht="33" x14ac:dyDescent="0.4">
      <c r="B14" s="145" t="s">
        <v>236</v>
      </c>
    </row>
    <row r="15" spans="2:2" ht="33" x14ac:dyDescent="0.4">
      <c r="B15" s="145" t="s">
        <v>237</v>
      </c>
    </row>
    <row r="16" spans="2:2" ht="33" x14ac:dyDescent="0.4">
      <c r="B16" s="145" t="s">
        <v>238</v>
      </c>
    </row>
    <row r="17" spans="2:2" ht="66" x14ac:dyDescent="0.4">
      <c r="B17" s="145" t="s">
        <v>239</v>
      </c>
    </row>
    <row r="18" spans="2:2" ht="32" x14ac:dyDescent="0.4">
      <c r="B18" s="145"/>
    </row>
    <row r="19" spans="2:2" ht="32" x14ac:dyDescent="0.4">
      <c r="B19" s="145"/>
    </row>
    <row r="20" spans="2:2" ht="32" x14ac:dyDescent="0.4">
      <c r="B20" s="145"/>
    </row>
    <row r="21" spans="2:2" ht="48" x14ac:dyDescent="0.55000000000000004">
      <c r="B21" s="146" t="s">
        <v>240</v>
      </c>
    </row>
    <row r="22" spans="2:2" ht="32" x14ac:dyDescent="0.4">
      <c r="B22" s="145"/>
    </row>
    <row r="23" spans="2:2" ht="33" x14ac:dyDescent="0.4">
      <c r="B23" s="145" t="s">
        <v>241</v>
      </c>
    </row>
    <row r="24" spans="2:2" ht="33" x14ac:dyDescent="0.4">
      <c r="B24" s="145" t="s">
        <v>242</v>
      </c>
    </row>
    <row r="25" spans="2:2" ht="32" x14ac:dyDescent="0.4">
      <c r="B25" s="145"/>
    </row>
    <row r="26" spans="2:2" ht="33" x14ac:dyDescent="0.4">
      <c r="B26" s="145" t="s">
        <v>243</v>
      </c>
    </row>
    <row r="27" spans="2:2" ht="33" x14ac:dyDescent="0.4">
      <c r="B27" s="145" t="s">
        <v>244</v>
      </c>
    </row>
    <row r="28" spans="2:2" ht="32" x14ac:dyDescent="0.4">
      <c r="B28" s="145"/>
    </row>
    <row r="29" spans="2:2" ht="33" x14ac:dyDescent="0.4">
      <c r="B29" s="145" t="s">
        <v>245</v>
      </c>
    </row>
    <row r="30" spans="2:2" ht="33" x14ac:dyDescent="0.4">
      <c r="B30" s="145" t="s">
        <v>246</v>
      </c>
    </row>
    <row r="31" spans="2:2" ht="32" x14ac:dyDescent="0.4">
      <c r="B31" s="145"/>
    </row>
    <row r="32" spans="2:2" ht="33" x14ac:dyDescent="0.4">
      <c r="B32" s="145" t="s">
        <v>247</v>
      </c>
    </row>
    <row r="33" spans="2:2" ht="33" x14ac:dyDescent="0.4">
      <c r="B33" s="145" t="s">
        <v>248</v>
      </c>
    </row>
    <row r="34" spans="2:2" ht="32" x14ac:dyDescent="0.4">
      <c r="B34" s="145"/>
    </row>
    <row r="35" spans="2:2" ht="33" x14ac:dyDescent="0.4">
      <c r="B35" s="145" t="s">
        <v>249</v>
      </c>
    </row>
    <row r="36" spans="2:2" ht="33" x14ac:dyDescent="0.4">
      <c r="B36" s="145" t="s">
        <v>250</v>
      </c>
    </row>
    <row r="37" spans="2:2" ht="32" x14ac:dyDescent="0.4">
      <c r="B37" s="145"/>
    </row>
    <row r="38" spans="2:2" ht="33" x14ac:dyDescent="0.4">
      <c r="B38" s="145" t="s">
        <v>251</v>
      </c>
    </row>
    <row r="39" spans="2:2" ht="33" x14ac:dyDescent="0.4">
      <c r="B39" s="145" t="s">
        <v>252</v>
      </c>
    </row>
    <row r="40" spans="2:2" ht="32" x14ac:dyDescent="0.4">
      <c r="B40" s="145"/>
    </row>
    <row r="41" spans="2:2" ht="32" x14ac:dyDescent="0.4">
      <c r="B41" s="145"/>
    </row>
    <row r="42" spans="2:2" ht="32" x14ac:dyDescent="0.4">
      <c r="B42" s="145"/>
    </row>
    <row r="43" spans="2:2" ht="48" x14ac:dyDescent="0.55000000000000004">
      <c r="B43" s="146" t="s">
        <v>253</v>
      </c>
    </row>
    <row r="44" spans="2:2" ht="32" x14ac:dyDescent="0.4">
      <c r="B44" s="145"/>
    </row>
    <row r="45" spans="2:2" ht="99" x14ac:dyDescent="0.4">
      <c r="B45" s="145" t="s">
        <v>254</v>
      </c>
    </row>
    <row r="46" spans="2:2" ht="32" x14ac:dyDescent="0.4">
      <c r="B46" s="145"/>
    </row>
    <row r="47" spans="2:2" ht="132" x14ac:dyDescent="0.4">
      <c r="B47" s="145" t="s">
        <v>255</v>
      </c>
    </row>
    <row r="48" spans="2:2" ht="32" x14ac:dyDescent="0.4">
      <c r="B48" s="145"/>
    </row>
    <row r="49" spans="2:2" ht="66" x14ac:dyDescent="0.4">
      <c r="B49" s="145" t="s">
        <v>256</v>
      </c>
    </row>
    <row r="50" spans="2:2" ht="32" x14ac:dyDescent="0.4">
      <c r="B50" s="145"/>
    </row>
    <row r="51" spans="2:2" ht="32" x14ac:dyDescent="0.4">
      <c r="B51" s="145"/>
    </row>
    <row r="52" spans="2:2" ht="66" x14ac:dyDescent="0.4">
      <c r="B52" s="142" t="s">
        <v>258</v>
      </c>
    </row>
    <row r="53" spans="2:2" ht="37" x14ac:dyDescent="0.45">
      <c r="B53" s="143"/>
    </row>
    <row r="54" spans="2:2" ht="37" x14ac:dyDescent="0.45">
      <c r="B54" s="143"/>
    </row>
    <row r="55" spans="2:2" ht="37" x14ac:dyDescent="0.45">
      <c r="B55" s="143"/>
    </row>
    <row r="56" spans="2:2" ht="37" x14ac:dyDescent="0.45">
      <c r="B56" s="143"/>
    </row>
    <row r="57" spans="2:2" ht="37" x14ac:dyDescent="0.45">
      <c r="B57" s="143"/>
    </row>
    <row r="58" spans="2:2" ht="37" x14ac:dyDescent="0.45">
      <c r="B58" s="143"/>
    </row>
    <row r="59" spans="2:2" ht="37" x14ac:dyDescent="0.45">
      <c r="B59" s="143"/>
    </row>
    <row r="60" spans="2:2" ht="37" x14ac:dyDescent="0.45">
      <c r="B60" s="143"/>
    </row>
    <row r="61" spans="2:2" ht="37" x14ac:dyDescent="0.45">
      <c r="B61" s="143"/>
    </row>
    <row r="62" spans="2:2" ht="37" x14ac:dyDescent="0.45">
      <c r="B62" s="144"/>
    </row>
    <row r="63" spans="2:2" ht="37" x14ac:dyDescent="0.45">
      <c r="B63" s="144"/>
    </row>
    <row r="64" spans="2:2" ht="37" x14ac:dyDescent="0.45">
      <c r="B64" s="144"/>
    </row>
    <row r="65" spans="2:2" ht="37" x14ac:dyDescent="0.45">
      <c r="B65" s="144"/>
    </row>
    <row r="66" spans="2:2" ht="37" x14ac:dyDescent="0.45">
      <c r="B66" s="144"/>
    </row>
    <row r="67" spans="2:2" ht="37" x14ac:dyDescent="0.45">
      <c r="B67" s="144"/>
    </row>
    <row r="68" spans="2:2" ht="37" x14ac:dyDescent="0.45">
      <c r="B68" s="144"/>
    </row>
    <row r="69" spans="2:2" ht="37" x14ac:dyDescent="0.45">
      <c r="B69" s="144"/>
    </row>
    <row r="70" spans="2:2" ht="37" x14ac:dyDescent="0.45">
      <c r="B70" s="144"/>
    </row>
    <row r="71" spans="2:2" ht="37" x14ac:dyDescent="0.45">
      <c r="B71" s="144"/>
    </row>
    <row r="72" spans="2:2" ht="37" x14ac:dyDescent="0.45">
      <c r="B72" s="144"/>
    </row>
    <row r="73" spans="2:2" ht="37" x14ac:dyDescent="0.45">
      <c r="B73" s="144"/>
    </row>
    <row r="74" spans="2:2" ht="37" x14ac:dyDescent="0.45">
      <c r="B74" s="144"/>
    </row>
    <row r="75" spans="2:2" ht="37" x14ac:dyDescent="0.45">
      <c r="B75" s="144"/>
    </row>
    <row r="76" spans="2:2" ht="37" x14ac:dyDescent="0.45">
      <c r="B76" s="144"/>
    </row>
    <row r="77" spans="2:2" ht="37" x14ac:dyDescent="0.45">
      <c r="B77" s="144"/>
    </row>
    <row r="78" spans="2:2" ht="37" x14ac:dyDescent="0.45">
      <c r="B78" s="144"/>
    </row>
    <row r="79" spans="2:2" ht="37" x14ac:dyDescent="0.45">
      <c r="B79" s="1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0"/>
  <sheetViews>
    <sheetView showGridLines="0" workbookViewId="0">
      <selection activeCell="B27" sqref="B27"/>
    </sheetView>
  </sheetViews>
  <sheetFormatPr baseColWidth="10" defaultRowHeight="16" x14ac:dyDescent="0.2"/>
  <sheetData>
    <row r="2" spans="2:2" ht="32" customHeight="1" x14ac:dyDescent="0.4">
      <c r="B2" s="62" t="s">
        <v>212</v>
      </c>
    </row>
    <row r="5" spans="2:2" ht="22" customHeight="1" x14ac:dyDescent="0.3">
      <c r="B5" s="20" t="s">
        <v>213</v>
      </c>
    </row>
    <row r="6" spans="2:2" ht="22" customHeight="1" x14ac:dyDescent="0.3">
      <c r="B6" s="20"/>
    </row>
    <row r="7" spans="2:2" ht="22" customHeight="1" x14ac:dyDescent="0.3">
      <c r="B7" s="33" t="s">
        <v>77</v>
      </c>
    </row>
    <row r="8" spans="2:2" ht="22" customHeight="1" x14ac:dyDescent="0.3">
      <c r="B8" s="20"/>
    </row>
    <row r="9" spans="2:2" ht="22" customHeight="1" x14ac:dyDescent="0.3">
      <c r="B9" s="20" t="s">
        <v>78</v>
      </c>
    </row>
    <row r="10" spans="2:2" ht="22" customHeight="1" x14ac:dyDescent="0.3">
      <c r="B10" s="20" t="s">
        <v>79</v>
      </c>
    </row>
    <row r="11" spans="2:2" ht="22" customHeight="1" x14ac:dyDescent="0.3">
      <c r="B11" s="20" t="s">
        <v>80</v>
      </c>
    </row>
    <row r="12" spans="2:2" ht="22" customHeight="1" x14ac:dyDescent="0.3">
      <c r="B12" s="20"/>
    </row>
    <row r="13" spans="2:2" ht="22" customHeight="1" x14ac:dyDescent="0.3">
      <c r="B13" s="33" t="s">
        <v>81</v>
      </c>
    </row>
    <row r="14" spans="2:2" ht="22" customHeight="1" x14ac:dyDescent="0.3">
      <c r="B14" s="20"/>
    </row>
    <row r="15" spans="2:2" ht="22" customHeight="1" x14ac:dyDescent="0.3">
      <c r="B15" s="20" t="s">
        <v>82</v>
      </c>
    </row>
    <row r="16" spans="2:2" ht="22" customHeight="1" x14ac:dyDescent="0.3">
      <c r="B16" s="20" t="s">
        <v>83</v>
      </c>
    </row>
    <row r="17" spans="2:2" ht="22" customHeight="1" x14ac:dyDescent="0.3">
      <c r="B17" s="20"/>
    </row>
    <row r="18" spans="2:2" ht="22" customHeight="1" x14ac:dyDescent="0.3">
      <c r="B18" s="33" t="s">
        <v>84</v>
      </c>
    </row>
    <row r="19" spans="2:2" ht="22" customHeight="1" x14ac:dyDescent="0.3">
      <c r="B19" s="20"/>
    </row>
    <row r="20" spans="2:2" ht="22" customHeight="1" x14ac:dyDescent="0.3">
      <c r="B20" s="20" t="s">
        <v>214</v>
      </c>
    </row>
    <row r="21" spans="2:2" ht="22" customHeight="1" x14ac:dyDescent="0.3">
      <c r="B21" s="20" t="s">
        <v>215</v>
      </c>
    </row>
    <row r="22" spans="2:2" ht="22" customHeight="1" x14ac:dyDescent="0.3">
      <c r="B22" s="20" t="s">
        <v>216</v>
      </c>
    </row>
    <row r="23" spans="2:2" ht="22" customHeight="1" x14ac:dyDescent="0.3">
      <c r="B23" s="20" t="s">
        <v>217</v>
      </c>
    </row>
    <row r="24" spans="2:2" ht="22" customHeight="1" x14ac:dyDescent="0.3">
      <c r="B24" s="20" t="s">
        <v>85</v>
      </c>
    </row>
    <row r="25" spans="2:2" ht="22" customHeight="1" x14ac:dyDescent="0.3">
      <c r="B25" s="20" t="s">
        <v>86</v>
      </c>
    </row>
    <row r="26" spans="2:2" ht="22" customHeight="1" x14ac:dyDescent="0.3">
      <c r="B26" s="20" t="s">
        <v>225</v>
      </c>
    </row>
    <row r="27" spans="2:2" ht="22" customHeight="1" x14ac:dyDescent="0.3">
      <c r="B27" s="20" t="s">
        <v>218</v>
      </c>
    </row>
    <row r="28" spans="2:2" ht="22" customHeight="1" x14ac:dyDescent="0.3">
      <c r="B28" s="20"/>
    </row>
    <row r="29" spans="2:2" ht="22" customHeight="1" x14ac:dyDescent="0.3">
      <c r="B29" s="20" t="s">
        <v>87</v>
      </c>
    </row>
    <row r="30" spans="2:2" ht="22" customHeight="1" x14ac:dyDescent="0.3">
      <c r="B30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23"/>
  <sheetViews>
    <sheetView showGridLines="0" workbookViewId="0">
      <selection activeCell="C28" sqref="C28"/>
    </sheetView>
  </sheetViews>
  <sheetFormatPr baseColWidth="10" defaultRowHeight="16" x14ac:dyDescent="0.2"/>
  <cols>
    <col min="2" max="2" width="21.6640625" customWidth="1"/>
    <col min="3" max="3" width="18.5" customWidth="1"/>
  </cols>
  <sheetData>
    <row r="3" spans="2:4" ht="22" customHeight="1" x14ac:dyDescent="0.3">
      <c r="D3" s="33"/>
    </row>
    <row r="4" spans="2:4" ht="22" customHeight="1" x14ac:dyDescent="0.3">
      <c r="D4" s="20"/>
    </row>
    <row r="5" spans="2:4" ht="22" customHeight="1" x14ac:dyDescent="0.3">
      <c r="D5" s="20"/>
    </row>
    <row r="6" spans="2:4" ht="22" customHeight="1" x14ac:dyDescent="0.3">
      <c r="D6" s="20"/>
    </row>
    <row r="7" spans="2:4" ht="39" customHeight="1" x14ac:dyDescent="0.4">
      <c r="B7" s="112" t="s">
        <v>88</v>
      </c>
      <c r="D7" s="20"/>
    </row>
    <row r="8" spans="2:4" ht="22" customHeight="1" x14ac:dyDescent="0.3">
      <c r="D8" s="20"/>
    </row>
    <row r="9" spans="2:4" ht="22" customHeight="1" x14ac:dyDescent="0.3">
      <c r="B9" s="4" t="s">
        <v>89</v>
      </c>
      <c r="C9" s="4" t="s">
        <v>90</v>
      </c>
      <c r="D9" s="4" t="s">
        <v>269</v>
      </c>
    </row>
    <row r="10" spans="2:4" ht="22" customHeight="1" x14ac:dyDescent="0.3">
      <c r="B10" s="20" t="s">
        <v>6</v>
      </c>
      <c r="C10" s="20" t="s">
        <v>91</v>
      </c>
      <c r="D10" s="20" t="s">
        <v>259</v>
      </c>
    </row>
    <row r="11" spans="2:4" ht="22" customHeight="1" x14ac:dyDescent="0.3">
      <c r="B11" s="20" t="s">
        <v>4</v>
      </c>
      <c r="C11" s="20" t="s">
        <v>92</v>
      </c>
      <c r="D11" s="20" t="s">
        <v>260</v>
      </c>
    </row>
    <row r="12" spans="2:4" ht="22" customHeight="1" x14ac:dyDescent="0.3">
      <c r="B12" s="20" t="s">
        <v>5</v>
      </c>
      <c r="C12" s="20" t="s">
        <v>93</v>
      </c>
      <c r="D12" s="20" t="s">
        <v>261</v>
      </c>
    </row>
    <row r="13" spans="2:4" ht="22" customHeight="1" x14ac:dyDescent="0.3">
      <c r="B13" s="20" t="s">
        <v>3</v>
      </c>
      <c r="C13" s="20" t="s">
        <v>94</v>
      </c>
      <c r="D13" s="20" t="s">
        <v>262</v>
      </c>
    </row>
    <row r="14" spans="2:4" ht="22" customHeight="1" x14ac:dyDescent="0.3">
      <c r="B14" s="20" t="s">
        <v>226</v>
      </c>
      <c r="C14" s="20" t="s">
        <v>93</v>
      </c>
      <c r="D14" s="20" t="s">
        <v>263</v>
      </c>
    </row>
    <row r="17" spans="2:2" ht="27" x14ac:dyDescent="0.35">
      <c r="B17" s="153" t="s">
        <v>264</v>
      </c>
    </row>
    <row r="18" spans="2:2" ht="27" x14ac:dyDescent="0.35">
      <c r="B18" s="154" t="s">
        <v>265</v>
      </c>
    </row>
    <row r="19" spans="2:2" ht="27" x14ac:dyDescent="0.35">
      <c r="B19" s="154" t="s">
        <v>266</v>
      </c>
    </row>
    <row r="20" spans="2:2" ht="27" x14ac:dyDescent="0.35">
      <c r="B20" s="154" t="s">
        <v>270</v>
      </c>
    </row>
    <row r="21" spans="2:2" ht="27" x14ac:dyDescent="0.35">
      <c r="B21" s="154" t="s">
        <v>271</v>
      </c>
    </row>
    <row r="22" spans="2:2" ht="27" x14ac:dyDescent="0.35">
      <c r="B22" s="154" t="s">
        <v>267</v>
      </c>
    </row>
    <row r="23" spans="2:2" ht="27" x14ac:dyDescent="0.35">
      <c r="B23" s="154" t="s">
        <v>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E0064-22B2-644E-AAED-235E08616245}">
  <dimension ref="B2:CG143"/>
  <sheetViews>
    <sheetView showGridLines="0" zoomScale="105" zoomScaleNormal="100" workbookViewId="0">
      <selection activeCell="F13" sqref="F13"/>
    </sheetView>
  </sheetViews>
  <sheetFormatPr baseColWidth="10" defaultRowHeight="16" x14ac:dyDescent="0.2"/>
  <cols>
    <col min="1" max="1" width="5" customWidth="1"/>
    <col min="2" max="2" width="14.5" customWidth="1"/>
    <col min="3" max="3" width="18.6640625" customWidth="1"/>
    <col min="4" max="4" width="17.1640625" customWidth="1"/>
    <col min="5" max="5" width="20" customWidth="1"/>
    <col min="6" max="6" width="19.83203125" customWidth="1"/>
    <col min="7" max="7" width="17" customWidth="1"/>
    <col min="8" max="8" width="19" customWidth="1"/>
    <col min="9" max="9" width="2.6640625" customWidth="1"/>
    <col min="10" max="10" width="11.6640625" customWidth="1"/>
    <col min="11" max="11" width="3.33203125" customWidth="1"/>
    <col min="12" max="12" width="14.83203125" customWidth="1"/>
    <col min="13" max="14" width="14.1640625" customWidth="1"/>
    <col min="15" max="15" width="11.6640625" customWidth="1"/>
    <col min="16" max="16" width="8.1640625" customWidth="1"/>
    <col min="17" max="17" width="8.83203125" customWidth="1"/>
    <col min="18" max="18" width="10.83203125" customWidth="1"/>
  </cols>
  <sheetData>
    <row r="2" spans="2:85" ht="47" x14ac:dyDescent="0.55000000000000004">
      <c r="C2" s="113" t="s">
        <v>209</v>
      </c>
    </row>
    <row r="3" spans="2:85" ht="38.75" customHeight="1" x14ac:dyDescent="0.35">
      <c r="C3" s="24" t="s">
        <v>0</v>
      </c>
    </row>
    <row r="4" spans="2:85" ht="40" customHeight="1" thickBot="1" x14ac:dyDescent="0.4">
      <c r="C4" s="24" t="s">
        <v>1</v>
      </c>
      <c r="D4" s="24" t="str">
        <f>UPPER(C9)</f>
        <v xml:space="preserve">  [ M2.W2 ] </v>
      </c>
    </row>
    <row r="5" spans="2:85" ht="25.25" customHeight="1" x14ac:dyDescent="0.25">
      <c r="B5" s="6"/>
      <c r="C5" s="21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3" t="s">
        <v>7</v>
      </c>
      <c r="K5" s="6"/>
      <c r="L5" s="6"/>
      <c r="M5" s="6"/>
      <c r="N5" s="6"/>
      <c r="O5" s="6"/>
      <c r="CG5" s="6"/>
    </row>
    <row r="6" spans="2:85" ht="26.75" customHeight="1" thickBot="1" x14ac:dyDescent="0.3">
      <c r="B6" s="6"/>
      <c r="C6" s="115" t="s">
        <v>8</v>
      </c>
      <c r="D6" s="116">
        <f>D19</f>
        <v>339.99999999999977</v>
      </c>
      <c r="E6" s="116">
        <f>E19</f>
        <v>1760.0000000000002</v>
      </c>
      <c r="F6" s="116">
        <f>F19</f>
        <v>-300</v>
      </c>
      <c r="G6" s="117">
        <f>G19</f>
        <v>2200</v>
      </c>
      <c r="H6" s="118">
        <f>H19</f>
        <v>200</v>
      </c>
      <c r="K6" s="6"/>
      <c r="L6" s="6"/>
      <c r="M6" s="6"/>
      <c r="N6" s="6"/>
      <c r="O6" s="6"/>
      <c r="CG6" s="6"/>
    </row>
    <row r="7" spans="2:85" ht="26.75" customHeight="1" thickBot="1" x14ac:dyDescent="0.3">
      <c r="B7" s="6"/>
      <c r="C7" s="119"/>
      <c r="D7" s="25"/>
      <c r="E7" s="25"/>
      <c r="F7" s="25"/>
      <c r="G7" s="13"/>
      <c r="H7" s="13"/>
      <c r="K7" s="6"/>
      <c r="L7" s="6"/>
      <c r="M7" s="6"/>
      <c r="N7" s="6"/>
      <c r="O7" s="6"/>
      <c r="CG7" s="6"/>
    </row>
    <row r="8" spans="2:85" ht="25.25" customHeight="1" x14ac:dyDescent="0.25">
      <c r="B8" s="6"/>
      <c r="C8" s="26" t="s">
        <v>9</v>
      </c>
      <c r="D8" s="27"/>
      <c r="E8" s="28"/>
      <c r="F8" s="31" t="s">
        <v>10</v>
      </c>
      <c r="G8" s="27"/>
      <c r="H8" s="28"/>
      <c r="K8" s="6"/>
      <c r="L8" s="6"/>
      <c r="M8" s="6"/>
      <c r="N8" s="6"/>
      <c r="O8" s="6"/>
      <c r="CG8" s="6"/>
    </row>
    <row r="9" spans="2:85" ht="28" customHeight="1" thickBot="1" x14ac:dyDescent="0.3">
      <c r="B9" s="6"/>
      <c r="C9" s="32" t="str">
        <f t="array" ref="C9">_xlfn.LET(
  _xlpm.comment," shows intra-period or end-of-period bal sheet, and the transaction name being viewed",
  _xlpm.flags, $B$23:$B$48,
  _xlpm.labels, $C$23:$C$48,
  _xlpm.last_row, ROWS(_xlpm.flags),
  _xlpm.checked_row, _xlfn.XMATCH(TRUE, _xlpm.flags, 0),
  _xlpm.no_check, ISERROR(_xlpm.checked_row),
  _xlpm.stop_row, IF(_xlpm.no_check, _xlpm.last_row, _xlpm.checked_row),
  _xlpm.txt, INDEX(_xlpm.labels, _xlpm.stop_row),
  _xlpm.bal_sheet_type, IF(ISERROR(SEARCH(".close", _xlpm.txt)), "intra-period", "end-of-period"),
_xlpm.show_bal_sheet,  FALSE,
 _xlpm.bal_sheet_info, IF(_xlpm.show_bal_sheet, " "&amp;  _xlpm.bal_sheet_type &amp; " bal sheet",""),
 _xlpm.result, "  [ "&amp; _xlpm.txt &amp;   _xlpm.bal_sheet_info &amp;" ] ",
_xlpm.result
)</f>
        <v xml:space="preserve">  [ m2.w2 ] </v>
      </c>
      <c r="D9" s="29"/>
      <c r="E9" s="30"/>
      <c r="F9" s="32" t="str">
        <f t="array" ref="F9">_xlfn.LET(
  _xlpm.comment," shows intra-period or end-of-period bal sheet, and the transaction name being viewed",
  _xlpm.flags, $B$23:$B$48,
  _xlpm.labels, $C$23:$C$48,
  _xlpm.last_row, ROWS(_xlpm.flags),
  _xlpm.checked_row, _xlfn.XMATCH(TRUE, _xlpm.flags, 0),
  _xlpm.no_check, ISERROR(_xlpm.checked_row),
  _xlpm.stop_row, IF(_xlpm.no_check, _xlpm.last_row, _xlpm.checked_row),
  _xlpm.txt, INDEX(_xlpm.labels, _xlpm.stop_row),
  _xlpm.bal_sheet_type, IF(ISERROR(SEARCH(".close", _xlpm.txt)), "intra-period", "end-of-period"),
_xlpm.show_bal_sheet,  TRUE,
 _xlpm.bal_sheet_info, IF(_xlpm.show_bal_sheet, " "&amp;  _xlpm.bal_sheet_type &amp; " bal sheet",""),
 _xlpm.result, "  [ "&amp; _xlpm.txt &amp;   _xlpm.bal_sheet_info &amp;" ] ",
_xlpm.result
)</f>
        <v xml:space="preserve">  [ m2.w2 intra-period bal sheet ] </v>
      </c>
      <c r="G9" s="29"/>
      <c r="H9" s="30"/>
      <c r="K9" s="6"/>
      <c r="L9" s="6"/>
      <c r="M9" s="6"/>
      <c r="N9" s="6"/>
      <c r="O9" s="6"/>
      <c r="CG9" s="6"/>
    </row>
    <row r="10" spans="2:85" ht="25.25" customHeight="1" x14ac:dyDescent="0.25">
      <c r="B10" s="6"/>
      <c r="C10" s="8"/>
      <c r="D10" s="13"/>
      <c r="E10" s="14"/>
      <c r="F10" s="8" t="s">
        <v>11</v>
      </c>
      <c r="G10" s="120">
        <f>D6</f>
        <v>339.99999999999977</v>
      </c>
      <c r="H10" s="17"/>
      <c r="K10" s="6"/>
      <c r="L10" s="6"/>
      <c r="M10" s="6"/>
      <c r="N10" s="6"/>
      <c r="O10" s="6"/>
      <c r="CG10" s="6"/>
    </row>
    <row r="11" spans="2:85" ht="25.25" customHeight="1" x14ac:dyDescent="0.25">
      <c r="B11" s="6"/>
      <c r="C11" s="9" t="s">
        <v>12</v>
      </c>
      <c r="D11" s="13">
        <f>G6</f>
        <v>2200</v>
      </c>
      <c r="E11" s="14"/>
      <c r="F11" s="8" t="s">
        <v>13</v>
      </c>
      <c r="G11" s="121"/>
      <c r="H11" s="17">
        <v>0</v>
      </c>
      <c r="K11" s="6"/>
      <c r="L11" s="6"/>
      <c r="M11" s="6"/>
      <c r="N11" s="6"/>
      <c r="O11" s="6"/>
      <c r="CG11" s="6"/>
    </row>
    <row r="12" spans="2:85" ht="25.25" customHeight="1" x14ac:dyDescent="0.25">
      <c r="B12" s="6"/>
      <c r="C12" s="9" t="s">
        <v>14</v>
      </c>
      <c r="D12" s="13"/>
      <c r="E12" s="14">
        <f>E6</f>
        <v>1760.0000000000002</v>
      </c>
      <c r="F12" s="8" t="s">
        <v>227</v>
      </c>
      <c r="G12" s="121"/>
      <c r="H12" s="17">
        <f>H6</f>
        <v>200</v>
      </c>
      <c r="K12" s="6"/>
      <c r="L12" s="6"/>
      <c r="M12" s="6"/>
      <c r="N12" s="6"/>
      <c r="O12" s="6"/>
      <c r="CG12" s="6"/>
    </row>
    <row r="13" spans="2:85" ht="25.25" customHeight="1" x14ac:dyDescent="0.25">
      <c r="B13" s="6"/>
      <c r="C13" s="8"/>
      <c r="D13" s="13"/>
      <c r="E13" s="14"/>
      <c r="F13" s="8" t="s">
        <v>15</v>
      </c>
      <c r="G13" s="121"/>
      <c r="H13" s="17">
        <f>+F6</f>
        <v>-300</v>
      </c>
      <c r="K13" s="6"/>
      <c r="L13" s="6"/>
      <c r="M13" s="6"/>
      <c r="N13" s="6"/>
      <c r="O13" s="6"/>
      <c r="CG13" s="6"/>
    </row>
    <row r="14" spans="2:85" ht="26.75" customHeight="1" thickBot="1" x14ac:dyDescent="0.3">
      <c r="B14" s="6"/>
      <c r="C14" s="8"/>
      <c r="D14" s="13"/>
      <c r="E14" s="14"/>
      <c r="F14" s="8" t="s">
        <v>16</v>
      </c>
      <c r="G14" s="121"/>
      <c r="H14" s="17">
        <f>E15</f>
        <v>439.99999999999977</v>
      </c>
      <c r="CG14" s="6"/>
    </row>
    <row r="15" spans="2:85" ht="26.75" customHeight="1" thickBot="1" x14ac:dyDescent="0.3">
      <c r="B15" s="6"/>
      <c r="C15" s="10" t="s">
        <v>17</v>
      </c>
      <c r="D15" s="15"/>
      <c r="E15" s="16">
        <f>D11-E12</f>
        <v>439.99999999999977</v>
      </c>
      <c r="F15" s="7" t="s">
        <v>18</v>
      </c>
      <c r="G15" s="18">
        <f>G10</f>
        <v>339.99999999999977</v>
      </c>
      <c r="H15" s="19">
        <f>SUM(H11:H14)</f>
        <v>339.99999999999977</v>
      </c>
      <c r="CG15" s="6"/>
    </row>
    <row r="16" spans="2:85" x14ac:dyDescent="0.2">
      <c r="B16" s="6"/>
      <c r="C16" s="6"/>
      <c r="H16" s="6"/>
      <c r="I16" s="6"/>
      <c r="Q16" s="6"/>
      <c r="R16" s="6"/>
      <c r="S16" s="6"/>
      <c r="T16" s="6"/>
      <c r="U16" s="6"/>
      <c r="V16" s="6"/>
      <c r="W16" s="6"/>
    </row>
    <row r="17" spans="2:20" ht="17" thickBot="1" x14ac:dyDescent="0.25">
      <c r="B17" s="6"/>
      <c r="C17" s="6"/>
      <c r="D17" s="6"/>
      <c r="E17" s="6"/>
      <c r="F17" s="6"/>
      <c r="G17" s="6"/>
      <c r="H17" s="6"/>
      <c r="I17" s="6"/>
    </row>
    <row r="18" spans="2:20" ht="22.75" customHeight="1" thickBot="1" x14ac:dyDescent="0.3">
      <c r="B18" s="6"/>
      <c r="C18" s="68" t="s">
        <v>38</v>
      </c>
      <c r="D18" s="88" t="s">
        <v>204</v>
      </c>
      <c r="E18" s="88" t="s">
        <v>205</v>
      </c>
      <c r="F18" s="88" t="s">
        <v>206</v>
      </c>
      <c r="G18" s="88" t="s">
        <v>207</v>
      </c>
      <c r="H18" s="88" t="s">
        <v>208</v>
      </c>
      <c r="I18" s="89"/>
      <c r="J18" s="90" t="s">
        <v>203</v>
      </c>
    </row>
    <row r="19" spans="2:20" ht="33.25" customHeight="1" thickBot="1" x14ac:dyDescent="0.3">
      <c r="B19" s="34"/>
      <c r="C19" s="39" t="s">
        <v>19</v>
      </c>
      <c r="D19" s="66">
        <f>_xlfn.LET(
  _xlpm.comment,"Complex formula used because there is a 'SUM 2 HERE' facility; otherwise a regular SUM is sufficient.",
  _xlpm.rows2sum, D23:D48,
  _xlpm.stop_flags, $B23:$B48,
  _xlpm.checked_row, _xlfn.XMATCH(TRUE, _xlpm.stop_flags, 0),
  _xlpm.last_row, ROWS(_xlpm.stop_flags),
  _xlpm.stop_row, IFERROR(_xlpm.checked_row, _xlpm.last_row),
 _xlpm.result, SUM(_xlfn.TAKE(_xlpm.rows2sum, _xlpm.stop_row)),
 _xlpm.result
)</f>
        <v>339.99999999999977</v>
      </c>
      <c r="E19" s="66">
        <f>_xlfn.LET(
_xlpm.comment,"Complex formula used because there is a 'SUM 2 HERE' facility; otherwise a regular SUM is sufficient.",
_xlpm.rows2sum, E23:E48,
_xlpm.stop_flags, $B23:$B48,
_xlpm.checked_row, _xlfn.XMATCH(TRUE, _xlpm.stop_flags, 0),
_xlpm.last_row, ROWS(_xlpm.stop_flags),
_xlpm.stop_row, IFERROR(_xlpm.checked_row, _xlpm.last_row),
_xlpm.result, SUM(_xlfn.TAKE(_xlpm.rows2sum, _xlpm.stop_row)),
_xlpm.result)</f>
        <v>1760.0000000000002</v>
      </c>
      <c r="F19" s="66">
        <f>_xlfn.LET(
_xlpm.comment,"Complex formula used because there is a 'SUM 2 HERE' facility; otherwise a regular SUM is sufficient.",
_xlpm.rows2sum, F23:F48,
_xlpm.stop_flags, $B23:$B48,
_xlpm.checked_row, _xlfn.XMATCH(TRUE, _xlpm.stop_flags, 0),
_xlpm.last_row, ROWS(_xlpm.stop_flags),
_xlpm.stop_row, IFERROR(_xlpm.checked_row, _xlpm.last_row),
_xlpm.result, SUM(_xlfn.TAKE(_xlpm.rows2sum, _xlpm.stop_row)),
_xlpm.result)</f>
        <v>-300</v>
      </c>
      <c r="G19" s="66">
        <f>_xlfn.LET(
_xlpm.comment,"Complex formula used because there is a 'SUM 2 HERE' facility; otherwise a regular SUM is sufficient.",
_xlpm.rows2sum, G23:G48,
_xlpm.stop_flags, $B23:$B48,
_xlpm.checked_row, _xlfn.XMATCH(TRUE, _xlpm.stop_flags, 0),
_xlpm.last_row, ROWS(_xlpm.stop_flags),
_xlpm.stop_row, IFERROR(_xlpm.checked_row, _xlpm.last_row),
_xlpm.result, SUM(_xlfn.TAKE(_xlpm.rows2sum, _xlpm.stop_row)),
_xlpm.result)</f>
        <v>2200</v>
      </c>
      <c r="H19" s="66">
        <f>_xlfn.LET(
_xlpm.comment,"Complex formula used because there is a 'SUM 2 HERE' facility; otherwise a regular SUM is sufficient.",
_xlpm.rows2sum, H23:H48,
_xlpm.stop_flags, $B23:$B48,
_xlpm.checked_row, _xlfn.XMATCH(TRUE, _xlpm.stop_flags, 0),
_xlpm.last_row, ROWS(_xlpm.stop_flags),
_xlpm.stop_row, IFERROR(_xlpm.checked_row, _xlpm.last_row),
_xlpm.result, SUM(_xlfn.TAKE(_xlpm.rows2sum, _xlpm.stop_row)),
_xlpm.result)</f>
        <v>200</v>
      </c>
      <c r="I19" s="69"/>
      <c r="J19" s="71">
        <f>(F19+G19+H19)-(D19+E19)</f>
        <v>0</v>
      </c>
      <c r="R19" s="5"/>
    </row>
    <row r="20" spans="2:20" ht="33.25" customHeight="1" x14ac:dyDescent="0.3">
      <c r="B20" s="34"/>
      <c r="C20" s="39" t="s">
        <v>20</v>
      </c>
      <c r="D20" s="92" t="s">
        <v>21</v>
      </c>
      <c r="E20" s="92" t="s">
        <v>22</v>
      </c>
      <c r="F20" s="92" t="s">
        <v>23</v>
      </c>
      <c r="G20" s="92" t="s">
        <v>24</v>
      </c>
      <c r="H20" s="92" t="s">
        <v>219</v>
      </c>
      <c r="I20" s="72"/>
      <c r="J20" s="74"/>
      <c r="R20" s="5"/>
    </row>
    <row r="21" spans="2:20" ht="21.25" customHeight="1" thickBot="1" x14ac:dyDescent="0.25">
      <c r="B21" s="147" t="s">
        <v>211</v>
      </c>
      <c r="C21" s="8" t="s">
        <v>28</v>
      </c>
      <c r="D21" s="84" t="s">
        <v>199</v>
      </c>
      <c r="E21" s="84" t="s">
        <v>200</v>
      </c>
      <c r="F21" s="84" t="s">
        <v>202</v>
      </c>
      <c r="G21" s="84" t="s">
        <v>201</v>
      </c>
      <c r="H21" s="84" t="s">
        <v>202</v>
      </c>
      <c r="I21" s="77"/>
      <c r="J21" s="79"/>
      <c r="R21" s="1"/>
    </row>
    <row r="22" spans="2:20" ht="22.75" customHeight="1" thickBot="1" x14ac:dyDescent="0.3">
      <c r="B22" s="148"/>
      <c r="C22" s="12"/>
      <c r="D22" s="86"/>
      <c r="E22" s="86"/>
      <c r="F22" s="86"/>
      <c r="G22" s="86"/>
      <c r="H22" s="86"/>
      <c r="I22" s="69"/>
      <c r="J22" s="91" t="s">
        <v>203</v>
      </c>
    </row>
    <row r="23" spans="2:20" ht="25.25" customHeight="1" x14ac:dyDescent="0.25">
      <c r="B23" s="63" t="b">
        <v>0</v>
      </c>
      <c r="C23" s="97" t="s">
        <v>50</v>
      </c>
      <c r="D23" s="98">
        <v>0</v>
      </c>
      <c r="E23" s="98">
        <v>0</v>
      </c>
      <c r="F23" s="98">
        <v>0</v>
      </c>
      <c r="G23" s="98">
        <v>0</v>
      </c>
      <c r="H23" s="98">
        <v>0</v>
      </c>
      <c r="I23" s="72"/>
      <c r="J23" s="81">
        <f t="shared" ref="J23:J48" si="0">(F23+G23+H23)-(D23+E23)</f>
        <v>0</v>
      </c>
      <c r="L23" s="6"/>
    </row>
    <row r="24" spans="2:20" ht="25.25" customHeight="1" x14ac:dyDescent="0.25">
      <c r="B24" s="64" t="b">
        <v>0</v>
      </c>
      <c r="C24" s="11" t="s">
        <v>51</v>
      </c>
      <c r="D24" s="40">
        <v>50</v>
      </c>
      <c r="E24" s="40">
        <v>800</v>
      </c>
      <c r="F24" s="40">
        <v>-150</v>
      </c>
      <c r="G24" s="40">
        <v>1000</v>
      </c>
      <c r="H24" s="40"/>
      <c r="I24" s="75"/>
      <c r="J24" s="41">
        <f t="shared" si="0"/>
        <v>0</v>
      </c>
      <c r="L24" s="6"/>
    </row>
    <row r="25" spans="2:20" ht="25.25" customHeight="1" x14ac:dyDescent="0.25">
      <c r="B25" s="64" t="b">
        <v>0</v>
      </c>
      <c r="C25" s="11" t="s">
        <v>52</v>
      </c>
      <c r="D25" s="40">
        <v>50</v>
      </c>
      <c r="E25" s="40">
        <v>800</v>
      </c>
      <c r="F25" s="40">
        <v>-150</v>
      </c>
      <c r="G25" s="40">
        <v>1000</v>
      </c>
      <c r="H25" s="40"/>
      <c r="I25" s="75"/>
      <c r="J25" s="41">
        <f t="shared" si="0"/>
        <v>0</v>
      </c>
      <c r="L25" s="6"/>
    </row>
    <row r="26" spans="2:20" ht="25.25" customHeight="1" x14ac:dyDescent="0.25">
      <c r="B26" s="64" t="b">
        <v>0</v>
      </c>
      <c r="C26" s="11" t="s">
        <v>53</v>
      </c>
      <c r="D26" s="40">
        <v>50</v>
      </c>
      <c r="E26" s="40">
        <v>800</v>
      </c>
      <c r="F26" s="40">
        <v>-150</v>
      </c>
      <c r="G26" s="40">
        <v>1000</v>
      </c>
      <c r="H26" s="40"/>
      <c r="I26" s="75"/>
      <c r="J26" s="41">
        <f t="shared" si="0"/>
        <v>0</v>
      </c>
      <c r="L26" s="6"/>
    </row>
    <row r="27" spans="2:20" ht="25.25" customHeight="1" x14ac:dyDescent="0.25">
      <c r="B27" s="64" t="b">
        <v>0</v>
      </c>
      <c r="C27" s="11" t="s">
        <v>54</v>
      </c>
      <c r="D27" s="40">
        <v>50</v>
      </c>
      <c r="E27" s="40">
        <v>800</v>
      </c>
      <c r="F27" s="40">
        <v>-150</v>
      </c>
      <c r="G27" s="40">
        <v>1000</v>
      </c>
      <c r="H27" s="40"/>
      <c r="I27" s="75"/>
      <c r="J27" s="41">
        <f t="shared" si="0"/>
        <v>0</v>
      </c>
      <c r="L27" s="6"/>
    </row>
    <row r="28" spans="2:20" ht="25.25" customHeight="1" x14ac:dyDescent="0.25">
      <c r="B28" s="64" t="b">
        <v>0</v>
      </c>
      <c r="C28" s="11" t="s">
        <v>55</v>
      </c>
      <c r="D28" s="40"/>
      <c r="E28" s="40"/>
      <c r="F28" s="40">
        <v>600</v>
      </c>
      <c r="G28" s="40"/>
      <c r="H28" s="40">
        <v>-600</v>
      </c>
      <c r="I28" s="75"/>
      <c r="J28" s="41">
        <f t="shared" si="0"/>
        <v>0</v>
      </c>
      <c r="K28" s="6"/>
      <c r="L28" s="6"/>
      <c r="M28" s="6"/>
      <c r="N28" s="6"/>
      <c r="O28" s="6"/>
      <c r="P28" s="6"/>
      <c r="Q28" s="6"/>
      <c r="R28" s="6"/>
    </row>
    <row r="29" spans="2:20" ht="25.25" customHeight="1" x14ac:dyDescent="0.25">
      <c r="B29" s="64" t="b">
        <v>0</v>
      </c>
      <c r="C29" s="97" t="s">
        <v>56</v>
      </c>
      <c r="D29" s="98"/>
      <c r="E29" s="98">
        <v>-3200</v>
      </c>
      <c r="F29" s="98"/>
      <c r="G29" s="98">
        <v>-4000</v>
      </c>
      <c r="H29" s="98">
        <v>800</v>
      </c>
      <c r="I29" s="75"/>
      <c r="J29" s="41">
        <f t="shared" si="0"/>
        <v>0</v>
      </c>
      <c r="L29" s="6"/>
    </row>
    <row r="30" spans="2:20" ht="25.25" customHeight="1" x14ac:dyDescent="0.25">
      <c r="B30" s="64" t="b">
        <v>0</v>
      </c>
      <c r="C30" s="11" t="s">
        <v>57</v>
      </c>
      <c r="D30" s="40">
        <v>69.999999999999886</v>
      </c>
      <c r="E30" s="40">
        <f>E24*1.1</f>
        <v>880.00000000000011</v>
      </c>
      <c r="F30" s="40">
        <v>-150</v>
      </c>
      <c r="G30" s="40">
        <f>G24*1.1</f>
        <v>1100</v>
      </c>
      <c r="H30" s="40"/>
      <c r="I30" s="75"/>
      <c r="J30" s="41">
        <f t="shared" si="0"/>
        <v>0</v>
      </c>
      <c r="L30" s="6"/>
      <c r="T30" t="s">
        <v>58</v>
      </c>
    </row>
    <row r="31" spans="2:20" ht="25.25" customHeight="1" x14ac:dyDescent="0.25">
      <c r="B31" s="64" t="b">
        <v>1</v>
      </c>
      <c r="C31" s="11" t="s">
        <v>59</v>
      </c>
      <c r="D31" s="40">
        <v>69.999999999999886</v>
      </c>
      <c r="E31" s="40">
        <f>E25*1.1</f>
        <v>880.00000000000011</v>
      </c>
      <c r="F31" s="40">
        <v>-150</v>
      </c>
      <c r="G31" s="40">
        <f>G25*1.1</f>
        <v>1100</v>
      </c>
      <c r="H31" s="40"/>
      <c r="I31" s="75"/>
      <c r="J31" s="41">
        <f t="shared" si="0"/>
        <v>0</v>
      </c>
      <c r="L31" s="6"/>
    </row>
    <row r="32" spans="2:20" ht="25.25" customHeight="1" x14ac:dyDescent="0.25">
      <c r="B32" s="64" t="b">
        <v>0</v>
      </c>
      <c r="C32" s="11" t="s">
        <v>60</v>
      </c>
      <c r="D32" s="40">
        <v>69.999999999999886</v>
      </c>
      <c r="E32" s="40">
        <f>E26*1.1</f>
        <v>880.00000000000011</v>
      </c>
      <c r="F32" s="40">
        <v>-150</v>
      </c>
      <c r="G32" s="40">
        <f>G26*1.1</f>
        <v>1100</v>
      </c>
      <c r="H32" s="40"/>
      <c r="I32" s="75"/>
      <c r="J32" s="41">
        <f t="shared" si="0"/>
        <v>0</v>
      </c>
      <c r="L32" s="6"/>
    </row>
    <row r="33" spans="2:12" ht="25.25" customHeight="1" x14ac:dyDescent="0.25">
      <c r="B33" s="64" t="b">
        <v>0</v>
      </c>
      <c r="C33" s="11" t="s">
        <v>61</v>
      </c>
      <c r="D33" s="40">
        <v>69.999999999999886</v>
      </c>
      <c r="E33" s="40">
        <f>E27*1.1</f>
        <v>880.00000000000011</v>
      </c>
      <c r="F33" s="40">
        <v>-150</v>
      </c>
      <c r="G33" s="40">
        <f>G27*1.1</f>
        <v>1100</v>
      </c>
      <c r="H33" s="40"/>
      <c r="I33" s="75"/>
      <c r="J33" s="41">
        <f t="shared" si="0"/>
        <v>0</v>
      </c>
      <c r="L33" s="6"/>
    </row>
    <row r="34" spans="2:12" ht="25.25" customHeight="1" x14ac:dyDescent="0.25">
      <c r="B34" s="64" t="b">
        <v>0</v>
      </c>
      <c r="C34" s="11" t="s">
        <v>62</v>
      </c>
      <c r="D34" s="40"/>
      <c r="E34" s="40"/>
      <c r="F34" s="40">
        <v>600</v>
      </c>
      <c r="G34" s="40"/>
      <c r="H34" s="40">
        <v>-600</v>
      </c>
      <c r="I34" s="75"/>
      <c r="J34" s="41">
        <f t="shared" si="0"/>
        <v>0</v>
      </c>
      <c r="L34" s="6"/>
    </row>
    <row r="35" spans="2:12" ht="25.25" customHeight="1" x14ac:dyDescent="0.25">
      <c r="B35" s="64" t="b">
        <v>0</v>
      </c>
      <c r="C35" s="97" t="s">
        <v>63</v>
      </c>
      <c r="D35" s="98"/>
      <c r="E35" s="98">
        <v>-3520</v>
      </c>
      <c r="F35" s="98"/>
      <c r="G35" s="98">
        <v>-4400</v>
      </c>
      <c r="H35" s="98">
        <v>880</v>
      </c>
      <c r="I35" s="75"/>
      <c r="J35" s="41">
        <f t="shared" si="0"/>
        <v>0</v>
      </c>
      <c r="L35" s="6"/>
    </row>
    <row r="36" spans="2:12" ht="25.25" customHeight="1" x14ac:dyDescent="0.25">
      <c r="B36" s="64" t="b">
        <v>0</v>
      </c>
      <c r="C36" s="11" t="s">
        <v>64</v>
      </c>
      <c r="D36" s="40">
        <v>91.999999999999773</v>
      </c>
      <c r="E36" s="40">
        <f>E30*1.1</f>
        <v>968.00000000000023</v>
      </c>
      <c r="F36" s="40">
        <v>-150</v>
      </c>
      <c r="G36" s="40">
        <f>G30*1.1</f>
        <v>1210</v>
      </c>
      <c r="H36" s="40"/>
      <c r="I36" s="75"/>
      <c r="J36" s="41">
        <f t="shared" si="0"/>
        <v>0</v>
      </c>
      <c r="L36" s="6"/>
    </row>
    <row r="37" spans="2:12" ht="25.25" customHeight="1" x14ac:dyDescent="0.25">
      <c r="B37" s="64" t="b">
        <v>0</v>
      </c>
      <c r="C37" s="11" t="s">
        <v>65</v>
      </c>
      <c r="D37" s="40">
        <v>91.999999999999773</v>
      </c>
      <c r="E37" s="40">
        <f>E31*1.1</f>
        <v>968.00000000000023</v>
      </c>
      <c r="F37" s="40">
        <v>-150</v>
      </c>
      <c r="G37" s="40">
        <f>G31*1.1</f>
        <v>1210</v>
      </c>
      <c r="H37" s="40"/>
      <c r="I37" s="75"/>
      <c r="J37" s="41">
        <f t="shared" si="0"/>
        <v>0</v>
      </c>
      <c r="L37" s="6"/>
    </row>
    <row r="38" spans="2:12" ht="25.25" customHeight="1" x14ac:dyDescent="0.25">
      <c r="B38" s="64" t="b">
        <v>0</v>
      </c>
      <c r="C38" s="11" t="s">
        <v>66</v>
      </c>
      <c r="D38" s="40">
        <v>91.999999999999773</v>
      </c>
      <c r="E38" s="40">
        <f>E32*1.1</f>
        <v>968.00000000000023</v>
      </c>
      <c r="F38" s="40">
        <v>-150</v>
      </c>
      <c r="G38" s="40">
        <f>G32*1.1</f>
        <v>1210</v>
      </c>
      <c r="H38" s="40"/>
      <c r="I38" s="75"/>
      <c r="J38" s="41">
        <f t="shared" si="0"/>
        <v>0</v>
      </c>
      <c r="L38" s="6"/>
    </row>
    <row r="39" spans="2:12" ht="25.25" customHeight="1" x14ac:dyDescent="0.25">
      <c r="B39" s="64" t="b">
        <v>0</v>
      </c>
      <c r="C39" s="11" t="s">
        <v>67</v>
      </c>
      <c r="D39" s="40">
        <v>91.999999999999773</v>
      </c>
      <c r="E39" s="40">
        <f>E33*1.1</f>
        <v>968.00000000000023</v>
      </c>
      <c r="F39" s="40">
        <v>-150</v>
      </c>
      <c r="G39" s="40">
        <f>G33*1.1</f>
        <v>1210</v>
      </c>
      <c r="H39" s="40"/>
      <c r="I39" s="75"/>
      <c r="J39" s="41">
        <f t="shared" si="0"/>
        <v>0</v>
      </c>
      <c r="L39" s="6"/>
    </row>
    <row r="40" spans="2:12" ht="25.25" customHeight="1" x14ac:dyDescent="0.25">
      <c r="B40" s="64" t="b">
        <v>0</v>
      </c>
      <c r="C40" s="11" t="s">
        <v>68</v>
      </c>
      <c r="D40" s="40"/>
      <c r="E40" s="40"/>
      <c r="F40" s="40">
        <v>600</v>
      </c>
      <c r="G40" s="40"/>
      <c r="H40" s="40">
        <v>-600</v>
      </c>
      <c r="I40" s="75"/>
      <c r="J40" s="41">
        <f t="shared" si="0"/>
        <v>0</v>
      </c>
      <c r="L40" s="6"/>
    </row>
    <row r="41" spans="2:12" ht="25.25" customHeight="1" x14ac:dyDescent="0.25">
      <c r="B41" s="64" t="b">
        <v>0</v>
      </c>
      <c r="C41" s="97" t="s">
        <v>69</v>
      </c>
      <c r="D41" s="98"/>
      <c r="E41" s="98">
        <v>-3872</v>
      </c>
      <c r="F41" s="98"/>
      <c r="G41" s="98">
        <v>-4840</v>
      </c>
      <c r="H41" s="98">
        <v>968</v>
      </c>
      <c r="I41" s="75"/>
      <c r="J41" s="41">
        <f t="shared" si="0"/>
        <v>0</v>
      </c>
      <c r="L41" s="6"/>
    </row>
    <row r="42" spans="2:12" ht="25.25" customHeight="1" x14ac:dyDescent="0.25">
      <c r="B42" s="64" t="b">
        <v>0</v>
      </c>
      <c r="C42" s="11" t="s">
        <v>70</v>
      </c>
      <c r="D42" s="40">
        <v>116.19999999999959</v>
      </c>
      <c r="E42" s="40">
        <f>E36*1.1</f>
        <v>1064.8000000000004</v>
      </c>
      <c r="F42" s="40">
        <v>-150</v>
      </c>
      <c r="G42" s="40">
        <f>G36*1.1</f>
        <v>1331</v>
      </c>
      <c r="H42" s="40"/>
      <c r="I42" s="75"/>
      <c r="J42" s="41">
        <f t="shared" si="0"/>
        <v>0</v>
      </c>
      <c r="L42" s="6"/>
    </row>
    <row r="43" spans="2:12" ht="25.25" customHeight="1" x14ac:dyDescent="0.25">
      <c r="B43" s="64" t="b">
        <v>0</v>
      </c>
      <c r="C43" s="11" t="s">
        <v>71</v>
      </c>
      <c r="D43" s="40">
        <v>116.19999999999959</v>
      </c>
      <c r="E43" s="40">
        <f>E37*1.1</f>
        <v>1064.8000000000004</v>
      </c>
      <c r="F43" s="40">
        <v>-150</v>
      </c>
      <c r="G43" s="40">
        <f>G37*1.1</f>
        <v>1331</v>
      </c>
      <c r="H43" s="40"/>
      <c r="I43" s="75"/>
      <c r="J43" s="41">
        <f t="shared" si="0"/>
        <v>0</v>
      </c>
      <c r="L43" s="6"/>
    </row>
    <row r="44" spans="2:12" ht="25.25" customHeight="1" x14ac:dyDescent="0.25">
      <c r="B44" s="64" t="b">
        <v>0</v>
      </c>
      <c r="C44" s="11" t="s">
        <v>72</v>
      </c>
      <c r="D44" s="40">
        <v>116.19999999999959</v>
      </c>
      <c r="E44" s="40">
        <f>E38*1.1</f>
        <v>1064.8000000000004</v>
      </c>
      <c r="F44" s="40">
        <v>-150</v>
      </c>
      <c r="G44" s="40">
        <f>G38*1.1</f>
        <v>1331</v>
      </c>
      <c r="H44" s="40"/>
      <c r="I44" s="75"/>
      <c r="J44" s="41">
        <f t="shared" si="0"/>
        <v>0</v>
      </c>
      <c r="L44" s="6"/>
    </row>
    <row r="45" spans="2:12" ht="25.25" customHeight="1" x14ac:dyDescent="0.25">
      <c r="B45" s="64" t="b">
        <v>0</v>
      </c>
      <c r="C45" s="11" t="s">
        <v>73</v>
      </c>
      <c r="D45" s="40">
        <v>116.19999999999959</v>
      </c>
      <c r="E45" s="40">
        <f>E39*1.1</f>
        <v>1064.8000000000004</v>
      </c>
      <c r="F45" s="40">
        <v>-150</v>
      </c>
      <c r="G45" s="40">
        <f>G39*1.1</f>
        <v>1331</v>
      </c>
      <c r="H45" s="40"/>
      <c r="I45" s="75"/>
      <c r="J45" s="41">
        <f t="shared" si="0"/>
        <v>0</v>
      </c>
      <c r="L45" s="6"/>
    </row>
    <row r="46" spans="2:12" ht="25.25" customHeight="1" x14ac:dyDescent="0.25">
      <c r="B46" s="64" t="b">
        <v>0</v>
      </c>
      <c r="C46" s="11" t="s">
        <v>74</v>
      </c>
      <c r="D46" s="40">
        <v>-1000</v>
      </c>
      <c r="E46" s="40"/>
      <c r="F46" s="40">
        <v>-1000</v>
      </c>
      <c r="G46" s="40"/>
      <c r="H46" s="40"/>
      <c r="I46" s="75"/>
      <c r="J46" s="41">
        <f t="shared" si="0"/>
        <v>0</v>
      </c>
      <c r="L46" s="6"/>
    </row>
    <row r="47" spans="2:12" ht="25.25" customHeight="1" x14ac:dyDescent="0.25">
      <c r="B47" s="64" t="b">
        <v>0</v>
      </c>
      <c r="C47" s="11" t="s">
        <v>75</v>
      </c>
      <c r="D47" s="40"/>
      <c r="E47" s="40"/>
      <c r="F47" s="40">
        <v>1600</v>
      </c>
      <c r="G47" s="40"/>
      <c r="H47" s="40">
        <v>-1600</v>
      </c>
      <c r="I47" s="75"/>
      <c r="J47" s="41">
        <f t="shared" si="0"/>
        <v>0</v>
      </c>
      <c r="L47" s="6"/>
    </row>
    <row r="48" spans="2:12" ht="26.75" customHeight="1" thickBot="1" x14ac:dyDescent="0.3">
      <c r="B48" s="65" t="b">
        <v>0</v>
      </c>
      <c r="C48" s="97" t="s">
        <v>76</v>
      </c>
      <c r="D48" s="98">
        <v>0</v>
      </c>
      <c r="E48" s="98">
        <v>-4259.2</v>
      </c>
      <c r="F48" s="98"/>
      <c r="G48" s="98">
        <v>-5324</v>
      </c>
      <c r="H48" s="98">
        <v>1064.7999999999956</v>
      </c>
      <c r="I48" s="77"/>
      <c r="J48" s="42">
        <f t="shared" si="0"/>
        <v>0</v>
      </c>
      <c r="L48" s="6"/>
    </row>
    <row r="49" spans="3:3" x14ac:dyDescent="0.2">
      <c r="C49" s="3"/>
    </row>
    <row r="50" spans="3:3" x14ac:dyDescent="0.2">
      <c r="C50" s="3"/>
    </row>
    <row r="51" spans="3:3" x14ac:dyDescent="0.2">
      <c r="C51" s="3"/>
    </row>
    <row r="52" spans="3:3" x14ac:dyDescent="0.2">
      <c r="C52" s="3"/>
    </row>
    <row r="53" spans="3:3" x14ac:dyDescent="0.2">
      <c r="C53" s="3"/>
    </row>
    <row r="54" spans="3:3" x14ac:dyDescent="0.2">
      <c r="C54" s="3"/>
    </row>
    <row r="55" spans="3:3" x14ac:dyDescent="0.2">
      <c r="C55" s="3"/>
    </row>
    <row r="56" spans="3:3" x14ac:dyDescent="0.2">
      <c r="C56" s="3"/>
    </row>
    <row r="57" spans="3:3" x14ac:dyDescent="0.2">
      <c r="C57" s="3"/>
    </row>
    <row r="58" spans="3:3" x14ac:dyDescent="0.2">
      <c r="C58" s="3"/>
    </row>
    <row r="59" spans="3:3" x14ac:dyDescent="0.2">
      <c r="C59" s="3"/>
    </row>
    <row r="60" spans="3:3" x14ac:dyDescent="0.2">
      <c r="C60" s="3"/>
    </row>
    <row r="61" spans="3:3" x14ac:dyDescent="0.2">
      <c r="C61" s="3"/>
    </row>
    <row r="62" spans="3:3" x14ac:dyDescent="0.2">
      <c r="C62" s="3"/>
    </row>
    <row r="63" spans="3:3" x14ac:dyDescent="0.2">
      <c r="C63" s="3"/>
    </row>
    <row r="64" spans="3:3" x14ac:dyDescent="0.2">
      <c r="C64" s="3"/>
    </row>
    <row r="65" spans="3:3" x14ac:dyDescent="0.2">
      <c r="C65" s="3"/>
    </row>
    <row r="66" spans="3:3" x14ac:dyDescent="0.2">
      <c r="C66" s="3"/>
    </row>
    <row r="67" spans="3:3" x14ac:dyDescent="0.2">
      <c r="C67" s="3"/>
    </row>
    <row r="68" spans="3:3" x14ac:dyDescent="0.2">
      <c r="C68" s="3"/>
    </row>
    <row r="69" spans="3:3" x14ac:dyDescent="0.2">
      <c r="C69" s="3"/>
    </row>
    <row r="70" spans="3:3" x14ac:dyDescent="0.2">
      <c r="C70" s="3"/>
    </row>
    <row r="71" spans="3:3" x14ac:dyDescent="0.2">
      <c r="C71" s="3"/>
    </row>
    <row r="72" spans="3:3" x14ac:dyDescent="0.2">
      <c r="C72" s="3"/>
    </row>
    <row r="73" spans="3:3" x14ac:dyDescent="0.2">
      <c r="C73" s="3"/>
    </row>
    <row r="74" spans="3:3" x14ac:dyDescent="0.2">
      <c r="C74" s="3"/>
    </row>
    <row r="75" spans="3:3" x14ac:dyDescent="0.2">
      <c r="C75" s="3"/>
    </row>
    <row r="76" spans="3:3" x14ac:dyDescent="0.2">
      <c r="C76" s="3"/>
    </row>
    <row r="77" spans="3:3" x14ac:dyDescent="0.2">
      <c r="C77" s="3"/>
    </row>
    <row r="78" spans="3:3" x14ac:dyDescent="0.2">
      <c r="C78" s="3"/>
    </row>
    <row r="79" spans="3:3" x14ac:dyDescent="0.2">
      <c r="C79" s="3"/>
    </row>
    <row r="80" spans="3:3" x14ac:dyDescent="0.2">
      <c r="C80" s="3"/>
    </row>
    <row r="81" spans="3:3" x14ac:dyDescent="0.2">
      <c r="C81" s="3"/>
    </row>
    <row r="82" spans="3:3" x14ac:dyDescent="0.2">
      <c r="C82" s="3"/>
    </row>
    <row r="83" spans="3:3" x14ac:dyDescent="0.2">
      <c r="C83" s="3"/>
    </row>
    <row r="84" spans="3:3" x14ac:dyDescent="0.2">
      <c r="C84" s="3"/>
    </row>
    <row r="85" spans="3:3" x14ac:dyDescent="0.2">
      <c r="C85" s="3"/>
    </row>
    <row r="86" spans="3:3" x14ac:dyDescent="0.2">
      <c r="C86" s="3"/>
    </row>
    <row r="87" spans="3:3" x14ac:dyDescent="0.2">
      <c r="C87" s="3"/>
    </row>
    <row r="88" spans="3:3" x14ac:dyDescent="0.2">
      <c r="C88" s="3"/>
    </row>
    <row r="89" spans="3:3" x14ac:dyDescent="0.2">
      <c r="C89" s="3"/>
    </row>
    <row r="90" spans="3:3" x14ac:dyDescent="0.2">
      <c r="C90" s="3"/>
    </row>
    <row r="91" spans="3:3" x14ac:dyDescent="0.2">
      <c r="C91" s="3"/>
    </row>
    <row r="92" spans="3:3" x14ac:dyDescent="0.2">
      <c r="C92" s="3"/>
    </row>
    <row r="93" spans="3:3" x14ac:dyDescent="0.2">
      <c r="C93" s="3"/>
    </row>
    <row r="94" spans="3:3" x14ac:dyDescent="0.2">
      <c r="C94" s="3"/>
    </row>
    <row r="95" spans="3:3" x14ac:dyDescent="0.2">
      <c r="C95" s="3"/>
    </row>
    <row r="96" spans="3:3" x14ac:dyDescent="0.2">
      <c r="C96" s="3"/>
    </row>
    <row r="97" spans="3:3" x14ac:dyDescent="0.2">
      <c r="C97" s="3"/>
    </row>
    <row r="98" spans="3:3" x14ac:dyDescent="0.2">
      <c r="C98" s="3"/>
    </row>
    <row r="99" spans="3:3" x14ac:dyDescent="0.2">
      <c r="C99" s="3"/>
    </row>
    <row r="100" spans="3:3" x14ac:dyDescent="0.2">
      <c r="C100" s="3"/>
    </row>
    <row r="101" spans="3:3" x14ac:dyDescent="0.2">
      <c r="C101" s="3"/>
    </row>
    <row r="102" spans="3:3" x14ac:dyDescent="0.2">
      <c r="C102" s="3"/>
    </row>
    <row r="103" spans="3:3" x14ac:dyDescent="0.2">
      <c r="C103" s="3"/>
    </row>
    <row r="104" spans="3:3" x14ac:dyDescent="0.2">
      <c r="C104" s="3"/>
    </row>
    <row r="105" spans="3:3" x14ac:dyDescent="0.2">
      <c r="C105" s="3"/>
    </row>
    <row r="106" spans="3:3" x14ac:dyDescent="0.2">
      <c r="C106" s="3"/>
    </row>
    <row r="107" spans="3:3" x14ac:dyDescent="0.2">
      <c r="C107" s="3"/>
    </row>
    <row r="108" spans="3:3" x14ac:dyDescent="0.2">
      <c r="C108" s="3"/>
    </row>
    <row r="109" spans="3:3" x14ac:dyDescent="0.2">
      <c r="C109" s="3"/>
    </row>
    <row r="110" spans="3:3" x14ac:dyDescent="0.2">
      <c r="C110" s="3"/>
    </row>
    <row r="111" spans="3:3" x14ac:dyDescent="0.2">
      <c r="C111" s="3"/>
    </row>
    <row r="112" spans="3:3" x14ac:dyDescent="0.2">
      <c r="C112" s="3"/>
    </row>
    <row r="113" spans="3:3" x14ac:dyDescent="0.2">
      <c r="C113" s="3"/>
    </row>
    <row r="114" spans="3:3" x14ac:dyDescent="0.2">
      <c r="C114" s="3"/>
    </row>
    <row r="115" spans="3:3" x14ac:dyDescent="0.2">
      <c r="C115" s="3"/>
    </row>
    <row r="116" spans="3:3" x14ac:dyDescent="0.2">
      <c r="C116" s="3"/>
    </row>
    <row r="117" spans="3:3" x14ac:dyDescent="0.2">
      <c r="C117" s="3"/>
    </row>
    <row r="118" spans="3:3" x14ac:dyDescent="0.2">
      <c r="C118" s="3"/>
    </row>
    <row r="119" spans="3:3" x14ac:dyDescent="0.2">
      <c r="C119" s="3"/>
    </row>
    <row r="120" spans="3:3" x14ac:dyDescent="0.2">
      <c r="C120" s="3"/>
    </row>
    <row r="121" spans="3:3" x14ac:dyDescent="0.2">
      <c r="C121" s="3"/>
    </row>
    <row r="122" spans="3:3" x14ac:dyDescent="0.2">
      <c r="C122" s="3"/>
    </row>
    <row r="123" spans="3:3" x14ac:dyDescent="0.2">
      <c r="C123" s="3"/>
    </row>
    <row r="124" spans="3:3" x14ac:dyDescent="0.2">
      <c r="C124" s="3"/>
    </row>
    <row r="125" spans="3:3" x14ac:dyDescent="0.2">
      <c r="C125" s="3"/>
    </row>
    <row r="126" spans="3:3" x14ac:dyDescent="0.2">
      <c r="C126" s="3"/>
    </row>
    <row r="127" spans="3:3" x14ac:dyDescent="0.2">
      <c r="C127" s="3"/>
    </row>
    <row r="128" spans="3:3" x14ac:dyDescent="0.2">
      <c r="C128" s="3"/>
    </row>
    <row r="129" spans="3:3" x14ac:dyDescent="0.2">
      <c r="C129" s="3"/>
    </row>
    <row r="130" spans="3:3" x14ac:dyDescent="0.2">
      <c r="C130" s="3"/>
    </row>
    <row r="131" spans="3:3" x14ac:dyDescent="0.2">
      <c r="C131" s="3"/>
    </row>
    <row r="132" spans="3:3" x14ac:dyDescent="0.2">
      <c r="C132" s="3"/>
    </row>
    <row r="133" spans="3:3" x14ac:dyDescent="0.2">
      <c r="C133" s="3"/>
    </row>
    <row r="134" spans="3:3" x14ac:dyDescent="0.2">
      <c r="C134" s="3"/>
    </row>
    <row r="135" spans="3:3" x14ac:dyDescent="0.2">
      <c r="C135" s="3"/>
    </row>
    <row r="136" spans="3:3" x14ac:dyDescent="0.2">
      <c r="C136" s="3"/>
    </row>
    <row r="137" spans="3:3" x14ac:dyDescent="0.2">
      <c r="C137" s="3"/>
    </row>
    <row r="138" spans="3:3" x14ac:dyDescent="0.2">
      <c r="C138" s="3"/>
    </row>
    <row r="139" spans="3:3" x14ac:dyDescent="0.2">
      <c r="C139" s="3"/>
    </row>
    <row r="140" spans="3:3" x14ac:dyDescent="0.2">
      <c r="C140" s="3"/>
    </row>
    <row r="141" spans="3:3" x14ac:dyDescent="0.2">
      <c r="C141" s="3"/>
    </row>
    <row r="142" spans="3:3" x14ac:dyDescent="0.2">
      <c r="C142" s="3"/>
    </row>
    <row r="143" spans="3:3" x14ac:dyDescent="0.2">
      <c r="C143" s="3"/>
    </row>
  </sheetData>
  <mergeCells count="1">
    <mergeCell ref="B21:B2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N145"/>
  <sheetViews>
    <sheetView showGridLines="0" topLeftCell="A12" zoomScaleNormal="100" workbookViewId="0">
      <selection activeCell="A35" sqref="A35"/>
    </sheetView>
  </sheetViews>
  <sheetFormatPr baseColWidth="10" defaultRowHeight="16" x14ac:dyDescent="0.2"/>
  <cols>
    <col min="1" max="1" width="5" customWidth="1"/>
    <col min="2" max="2" width="14.5" customWidth="1"/>
    <col min="3" max="3" width="18.6640625" customWidth="1"/>
    <col min="4" max="5" width="13.6640625" customWidth="1"/>
    <col min="6" max="6" width="14.33203125" customWidth="1"/>
    <col min="7" max="7" width="18.33203125" customWidth="1"/>
    <col min="8" max="9" width="14" customWidth="1"/>
    <col min="10" max="11" width="11.6640625" customWidth="1"/>
    <col min="12" max="12" width="15.5" customWidth="1"/>
    <col min="13" max="13" width="17.33203125" customWidth="1"/>
    <col min="14" max="14" width="2.6640625" customWidth="1"/>
    <col min="15" max="15" width="13.1640625" customWidth="1"/>
    <col min="16" max="17" width="11.6640625" customWidth="1"/>
    <col min="18" max="18" width="3.33203125" customWidth="1"/>
    <col min="19" max="19" width="14.83203125" customWidth="1"/>
    <col min="20" max="21" width="14.1640625" customWidth="1"/>
    <col min="22" max="22" width="11.6640625" customWidth="1"/>
    <col min="23" max="23" width="8.1640625" customWidth="1"/>
    <col min="24" max="24" width="8.83203125" customWidth="1"/>
    <col min="25" max="25" width="10.83203125" customWidth="1"/>
  </cols>
  <sheetData>
    <row r="2" spans="2:92" ht="63" x14ac:dyDescent="0.75">
      <c r="C2" s="114" t="s">
        <v>210</v>
      </c>
    </row>
    <row r="3" spans="2:92" ht="38.75" customHeight="1" x14ac:dyDescent="0.35">
      <c r="C3" s="24" t="s">
        <v>0</v>
      </c>
    </row>
    <row r="4" spans="2:92" ht="40" customHeight="1" thickBot="1" x14ac:dyDescent="0.4">
      <c r="C4" s="24" t="s">
        <v>1</v>
      </c>
      <c r="D4" s="24" t="str">
        <f>UPPER(C9)</f>
        <v xml:space="preserve">  [ M1.W2 ] </v>
      </c>
    </row>
    <row r="5" spans="2:92" ht="25.25" customHeight="1" x14ac:dyDescent="0.25">
      <c r="B5" s="6"/>
      <c r="C5" s="21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3" t="s">
        <v>7</v>
      </c>
      <c r="N5" s="6"/>
      <c r="O5" s="6"/>
      <c r="P5" s="6"/>
      <c r="Q5" s="6"/>
      <c r="R5" s="6"/>
      <c r="S5" s="6"/>
      <c r="T5" s="6"/>
      <c r="U5" s="6"/>
      <c r="V5" s="6"/>
      <c r="CN5" s="6"/>
    </row>
    <row r="6" spans="2:92" ht="26.75" customHeight="1" thickBot="1" x14ac:dyDescent="0.3">
      <c r="B6" s="6"/>
      <c r="C6" s="115" t="s">
        <v>8</v>
      </c>
      <c r="D6" s="116">
        <f>D19-E19</f>
        <v>100</v>
      </c>
      <c r="E6" s="116">
        <f>F19-G19</f>
        <v>1600</v>
      </c>
      <c r="F6" s="116">
        <f>H19-I19</f>
        <v>-300</v>
      </c>
      <c r="G6" s="117">
        <f>J19-K19</f>
        <v>2000</v>
      </c>
      <c r="H6" s="118">
        <f>L19-M19</f>
        <v>0</v>
      </c>
      <c r="N6" s="6"/>
      <c r="O6" s="6"/>
      <c r="P6" s="6"/>
      <c r="Q6" s="6"/>
      <c r="R6" s="6"/>
      <c r="S6" s="6"/>
      <c r="T6" s="6"/>
      <c r="U6" s="6"/>
      <c r="V6" s="6"/>
      <c r="CN6" s="6"/>
    </row>
    <row r="7" spans="2:92" ht="26.75" customHeight="1" thickBot="1" x14ac:dyDescent="0.3">
      <c r="B7" s="6"/>
      <c r="C7" s="119"/>
      <c r="D7" s="25"/>
      <c r="E7" s="25"/>
      <c r="F7" s="25"/>
      <c r="G7" s="13"/>
      <c r="H7" s="13"/>
      <c r="N7" s="6"/>
      <c r="O7" s="6"/>
      <c r="P7" s="6"/>
      <c r="Q7" s="6"/>
      <c r="R7" s="6"/>
      <c r="S7" s="6"/>
      <c r="T7" s="6"/>
      <c r="U7" s="6"/>
      <c r="V7" s="6"/>
      <c r="CN7" s="6"/>
    </row>
    <row r="8" spans="2:92" ht="25.25" customHeight="1" x14ac:dyDescent="0.25">
      <c r="B8" s="6"/>
      <c r="C8" s="26" t="s">
        <v>9</v>
      </c>
      <c r="D8" s="27"/>
      <c r="E8" s="28"/>
      <c r="F8" s="31" t="s">
        <v>10</v>
      </c>
      <c r="G8" s="27"/>
      <c r="H8" s="28"/>
      <c r="N8" s="6"/>
      <c r="O8" s="6"/>
      <c r="P8" s="6"/>
      <c r="Q8" s="6"/>
      <c r="R8" s="6"/>
      <c r="S8" s="6"/>
      <c r="T8" s="6"/>
      <c r="U8" s="6"/>
      <c r="V8" s="6"/>
      <c r="CN8" s="6"/>
    </row>
    <row r="9" spans="2:92" ht="28" customHeight="1" thickBot="1" x14ac:dyDescent="0.3">
      <c r="B9" s="6"/>
      <c r="C9" s="32" t="str">
        <f t="array" ref="C9">_xlfn.LET(
  _xlpm.comment," shows intra-period or end-of-period bal sheet, and the transaction name being viewed",
  _xlpm.flags, $B$25:$B$50,
  _xlpm.labels, $C$25:$C$50,
  _xlpm.last_row, ROWS(_xlpm.flags),
  _xlpm.checked_row, _xlfn.XMATCH(TRUE, _xlpm.flags, 0),
  _xlpm.no_check, ISERROR(_xlpm.checked_row),
  _xlpm.stop_row, IF(_xlpm.no_check, _xlpm.last_row, _xlpm.checked_row),
  _xlpm.txt, INDEX(_xlpm.labels, _xlpm.stop_row),
  _xlpm.bal_sheet_type, IF(ISERROR(SEARCH(".close", _xlpm.txt)), "intra-period", "end-of-period"),
_xlpm.show_bal_sheet,  FALSE,
 _xlpm.bal_sheet_info, IF(_xlpm.show_bal_sheet, " "&amp;  _xlpm.bal_sheet_type &amp; " bal sheet",""),
 _xlpm.result, "  [ "&amp; _xlpm.txt &amp;   _xlpm.bal_sheet_info &amp;" ] ",
_xlpm.result
)</f>
        <v xml:space="preserve">  [ m1.w2 ] </v>
      </c>
      <c r="D9" s="29"/>
      <c r="E9" s="30"/>
      <c r="F9" s="32" t="str">
        <f t="array" ref="F9">_xlfn.LET(
  _xlpm.comment," shows intra-period or end-of-period bal sheet, and the transaction name being viewed",
  _xlpm.flags, $B$25:$B$50,
  _xlpm.labels, $C$25:$C$50,
  _xlpm.last_row, ROWS(_xlpm.flags),
  _xlpm.checked_row, _xlfn.XMATCH(TRUE, _xlpm.flags, 0),
  _xlpm.no_check, ISERROR(_xlpm.checked_row),
  _xlpm.stop_row, IF(_xlpm.no_check, _xlpm.last_row, _xlpm.checked_row),
  _xlpm.txt, INDEX(_xlpm.labels, _xlpm.stop_row),
  _xlpm.bal_sheet_type, IF(ISERROR(SEARCH(".close", _xlpm.txt)), "intra-period", "end-of-period"),
_xlpm.show_bal_sheet,  TRUE,
 _xlpm.bal_sheet_info, IF(_xlpm.show_bal_sheet, " "&amp;  _xlpm.bal_sheet_type &amp; " bal sheet",""),
 _xlpm.result, "  [ "&amp; _xlpm.txt &amp;   _xlpm.bal_sheet_info &amp;" ] ",
_xlpm.result
)</f>
        <v xml:space="preserve">  [ m1.w2 intra-period bal sheet ] </v>
      </c>
      <c r="G9" s="29"/>
      <c r="H9" s="30"/>
      <c r="N9" s="6"/>
      <c r="O9" s="6"/>
      <c r="P9" s="6"/>
      <c r="Q9" s="6"/>
      <c r="R9" s="6"/>
      <c r="S9" s="6"/>
      <c r="T9" s="6"/>
      <c r="U9" s="6"/>
      <c r="V9" s="6"/>
      <c r="CN9" s="6"/>
    </row>
    <row r="10" spans="2:92" ht="25.25" customHeight="1" x14ac:dyDescent="0.25">
      <c r="B10" s="6"/>
      <c r="C10" s="122"/>
      <c r="D10" s="13"/>
      <c r="E10" s="14"/>
      <c r="F10" s="122" t="s">
        <v>11</v>
      </c>
      <c r="G10" s="25">
        <f>D6</f>
        <v>100</v>
      </c>
      <c r="H10" s="14"/>
      <c r="N10" s="6"/>
      <c r="O10" s="6"/>
      <c r="P10" s="6"/>
      <c r="Q10" s="6"/>
      <c r="R10" s="6"/>
      <c r="S10" s="6"/>
      <c r="T10" s="6"/>
      <c r="U10" s="6"/>
      <c r="V10" s="6"/>
      <c r="CN10" s="6"/>
    </row>
    <row r="11" spans="2:92" ht="25.25" customHeight="1" x14ac:dyDescent="0.25">
      <c r="B11" s="6"/>
      <c r="C11" s="123" t="s">
        <v>12</v>
      </c>
      <c r="D11" s="13">
        <f>G6</f>
        <v>2000</v>
      </c>
      <c r="E11" s="14"/>
      <c r="F11" s="122" t="s">
        <v>13</v>
      </c>
      <c r="G11" s="13"/>
      <c r="H11" s="14">
        <v>0</v>
      </c>
      <c r="N11" s="6"/>
      <c r="O11" s="6"/>
      <c r="P11" s="6"/>
      <c r="Q11" s="6"/>
      <c r="R11" s="6"/>
      <c r="S11" s="6"/>
      <c r="T11" s="6"/>
      <c r="U11" s="6"/>
      <c r="V11" s="6"/>
      <c r="CN11" s="6"/>
    </row>
    <row r="12" spans="2:92" ht="25.25" customHeight="1" x14ac:dyDescent="0.25">
      <c r="B12" s="6"/>
      <c r="C12" s="123" t="s">
        <v>14</v>
      </c>
      <c r="D12" s="13"/>
      <c r="E12" s="14">
        <f>E6</f>
        <v>1600</v>
      </c>
      <c r="F12" s="122" t="s">
        <v>227</v>
      </c>
      <c r="G12" s="13"/>
      <c r="H12" s="14">
        <f>H6</f>
        <v>0</v>
      </c>
      <c r="N12" s="6"/>
      <c r="O12" s="6"/>
      <c r="P12" s="6"/>
      <c r="Q12" s="6"/>
      <c r="R12" s="6"/>
      <c r="S12" s="6"/>
      <c r="T12" s="6"/>
      <c r="U12" s="6"/>
      <c r="V12" s="6"/>
      <c r="CN12" s="6"/>
    </row>
    <row r="13" spans="2:92" ht="25.25" customHeight="1" x14ac:dyDescent="0.25">
      <c r="B13" s="6"/>
      <c r="C13" s="122"/>
      <c r="D13" s="13"/>
      <c r="E13" s="14"/>
      <c r="F13" s="122" t="s">
        <v>15</v>
      </c>
      <c r="G13" s="13"/>
      <c r="H13" s="14">
        <f>+F6</f>
        <v>-300</v>
      </c>
      <c r="N13" s="6"/>
      <c r="O13" s="6"/>
      <c r="P13" s="6"/>
      <c r="Q13" s="6"/>
      <c r="R13" s="6"/>
      <c r="S13" s="6"/>
      <c r="T13" s="6"/>
      <c r="U13" s="6"/>
      <c r="V13" s="6"/>
      <c r="CN13" s="6"/>
    </row>
    <row r="14" spans="2:92" ht="26.75" customHeight="1" thickBot="1" x14ac:dyDescent="0.3">
      <c r="B14" s="6"/>
      <c r="C14" s="122"/>
      <c r="D14" s="13"/>
      <c r="E14" s="14"/>
      <c r="F14" s="122" t="s">
        <v>16</v>
      </c>
      <c r="G14" s="13"/>
      <c r="H14" s="14">
        <f>E15</f>
        <v>400</v>
      </c>
      <c r="N14" s="6"/>
      <c r="CN14" s="6"/>
    </row>
    <row r="15" spans="2:92" ht="26.75" customHeight="1" thickBot="1" x14ac:dyDescent="0.3">
      <c r="B15" s="6"/>
      <c r="C15" s="124" t="s">
        <v>17</v>
      </c>
      <c r="D15" s="15"/>
      <c r="E15" s="16">
        <f>D11-E12</f>
        <v>400</v>
      </c>
      <c r="F15" s="125" t="s">
        <v>18</v>
      </c>
      <c r="G15" s="126">
        <f>G10</f>
        <v>100</v>
      </c>
      <c r="H15" s="19">
        <f>SUM(H11:H14)</f>
        <v>100</v>
      </c>
      <c r="N15" s="6"/>
      <c r="CN15" s="6"/>
    </row>
    <row r="16" spans="2:92" x14ac:dyDescent="0.2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2:27" ht="17" thickBot="1" x14ac:dyDescent="0.25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2:27" ht="22.75" customHeight="1" thickBot="1" x14ac:dyDescent="0.3">
      <c r="B18" s="6"/>
      <c r="C18" s="68" t="s">
        <v>38</v>
      </c>
      <c r="D18" s="88" t="s">
        <v>39</v>
      </c>
      <c r="E18" s="88" t="s">
        <v>40</v>
      </c>
      <c r="F18" s="88" t="s">
        <v>41</v>
      </c>
      <c r="G18" s="88" t="s">
        <v>42</v>
      </c>
      <c r="H18" s="88" t="s">
        <v>43</v>
      </c>
      <c r="I18" s="88" t="s">
        <v>44</v>
      </c>
      <c r="J18" s="88" t="s">
        <v>45</v>
      </c>
      <c r="K18" s="88" t="s">
        <v>46</v>
      </c>
      <c r="L18" s="88" t="s">
        <v>47</v>
      </c>
      <c r="M18" s="88" t="s">
        <v>48</v>
      </c>
      <c r="N18" s="89"/>
      <c r="O18" s="88" t="s">
        <v>26</v>
      </c>
      <c r="P18" s="88" t="s">
        <v>27</v>
      </c>
      <c r="Q18" s="90" t="s">
        <v>49</v>
      </c>
    </row>
    <row r="19" spans="2:27" ht="33.25" customHeight="1" thickBot="1" x14ac:dyDescent="0.3">
      <c r="B19" s="34"/>
      <c r="C19" s="39" t="s">
        <v>19</v>
      </c>
      <c r="D19" s="66">
        <f>_xlfn.LET(
  _xlpm.comment,"Complex formula used because there is a 'SUM 2 HERE' facility; otherwise a regular SUM is sufficient.",
  _xlpm.rows2sum, D25:D50,
  _xlpm.stop_flags, $B25:$B50,
  _xlpm.checked_row, _xlfn.XMATCH(TRUE, _xlpm.stop_flags, 0),
  _xlpm.last_row, ROWS(_xlpm.stop_flags),
  _xlpm.stop_row, IFERROR(_xlpm.checked_row, _xlpm.last_row),
 _xlpm.result, SUM(_xlfn.TAKE(_xlpm.rows2sum, _xlpm.stop_row)),
 _xlpm.result
)</f>
        <v>100</v>
      </c>
      <c r="E19" s="67">
        <f t="shared" ref="E19:M19" si="0">_xlfn.LET(
_xlpm.comment,"Complex formula used because there is a 'SUM 2 HERE' facility; otherwise a regular SUM is sufficient.",
_xlpm.rows2sum, E25:E50,
_xlpm.stop_flags, $B25:$B50,
_xlpm.checked_row, _xlfn.XMATCH(TRUE, _xlpm.stop_flags, 0),
_xlpm.last_row, ROWS(_xlpm.stop_flags),
_xlpm.stop_row, IFERROR(_xlpm.checked_row, _xlpm.last_row),
_xlpm.result, SUM(_xlfn.TAKE(_xlpm.rows2sum, _xlpm.stop_row)),
_xlpm.result)</f>
        <v>0</v>
      </c>
      <c r="F19" s="66">
        <f t="shared" si="0"/>
        <v>1600</v>
      </c>
      <c r="G19" s="67">
        <f t="shared" si="0"/>
        <v>0</v>
      </c>
      <c r="H19" s="66">
        <f t="shared" si="0"/>
        <v>0</v>
      </c>
      <c r="I19" s="67">
        <f t="shared" si="0"/>
        <v>300</v>
      </c>
      <c r="J19" s="66">
        <f t="shared" si="0"/>
        <v>2000</v>
      </c>
      <c r="K19" s="67">
        <f t="shared" si="0"/>
        <v>0</v>
      </c>
      <c r="L19" s="66">
        <f t="shared" si="0"/>
        <v>0</v>
      </c>
      <c r="M19" s="67">
        <f t="shared" si="0"/>
        <v>0</v>
      </c>
      <c r="N19" s="69"/>
      <c r="O19" s="70">
        <f t="shared" ref="O19" si="1">D19+F19+I19+K19+M19</f>
        <v>2000</v>
      </c>
      <c r="P19" s="70">
        <f t="shared" ref="P19" si="2">E19+G19+H19+J19+L19</f>
        <v>2000</v>
      </c>
      <c r="Q19" s="71">
        <f t="shared" ref="Q19" si="3">P19-O19</f>
        <v>0</v>
      </c>
      <c r="Y19" s="5"/>
    </row>
    <row r="20" spans="2:27" ht="33.25" customHeight="1" x14ac:dyDescent="0.3">
      <c r="B20" s="34"/>
      <c r="C20" s="39" t="s">
        <v>20</v>
      </c>
      <c r="D20" s="149" t="s">
        <v>21</v>
      </c>
      <c r="E20" s="150"/>
      <c r="F20" s="149" t="s">
        <v>22</v>
      </c>
      <c r="G20" s="150"/>
      <c r="H20" s="149" t="s">
        <v>23</v>
      </c>
      <c r="I20" s="150"/>
      <c r="J20" s="149" t="s">
        <v>24</v>
      </c>
      <c r="K20" s="150"/>
      <c r="L20" s="149" t="s">
        <v>219</v>
      </c>
      <c r="M20" s="150"/>
      <c r="N20" s="72"/>
      <c r="O20" s="73"/>
      <c r="P20" s="73"/>
      <c r="Q20" s="74"/>
      <c r="Y20" s="5"/>
    </row>
    <row r="21" spans="2:27" ht="30.75" customHeight="1" x14ac:dyDescent="0.2">
      <c r="B21" s="151" t="s">
        <v>211</v>
      </c>
      <c r="C21" s="8" t="s">
        <v>25</v>
      </c>
      <c r="D21" s="35" t="s">
        <v>26</v>
      </c>
      <c r="E21" s="36" t="s">
        <v>27</v>
      </c>
      <c r="F21" s="35" t="s">
        <v>26</v>
      </c>
      <c r="G21" s="36" t="s">
        <v>27</v>
      </c>
      <c r="H21" s="37" t="s">
        <v>27</v>
      </c>
      <c r="I21" s="38" t="s">
        <v>26</v>
      </c>
      <c r="J21" s="37" t="s">
        <v>27</v>
      </c>
      <c r="K21" s="38" t="s">
        <v>26</v>
      </c>
      <c r="L21" s="37" t="s">
        <v>27</v>
      </c>
      <c r="M21" s="38" t="s">
        <v>26</v>
      </c>
      <c r="N21" s="75"/>
      <c r="O21" s="3"/>
      <c r="P21" s="3"/>
      <c r="Q21" s="76"/>
    </row>
    <row r="22" spans="2:27" ht="30.75" customHeight="1" x14ac:dyDescent="0.2">
      <c r="B22" s="151"/>
      <c r="C22" s="8"/>
      <c r="D22" s="93" t="s">
        <v>198</v>
      </c>
      <c r="E22" s="94" t="s">
        <v>197</v>
      </c>
      <c r="F22" s="93" t="s">
        <v>198</v>
      </c>
      <c r="G22" s="94" t="s">
        <v>197</v>
      </c>
      <c r="H22" s="95" t="s">
        <v>197</v>
      </c>
      <c r="I22" s="96" t="s">
        <v>198</v>
      </c>
      <c r="J22" s="95" t="s">
        <v>197</v>
      </c>
      <c r="K22" s="96" t="s">
        <v>198</v>
      </c>
      <c r="L22" s="95" t="s">
        <v>197</v>
      </c>
      <c r="M22" s="96" t="s">
        <v>198</v>
      </c>
      <c r="N22" s="75"/>
      <c r="O22" s="3"/>
      <c r="P22" s="3"/>
      <c r="Q22" s="76"/>
    </row>
    <row r="23" spans="2:27" ht="21.25" customHeight="1" thickBot="1" x14ac:dyDescent="0.25">
      <c r="B23" s="152"/>
      <c r="C23" s="8" t="s">
        <v>28</v>
      </c>
      <c r="D23" s="84" t="s">
        <v>29</v>
      </c>
      <c r="E23" s="85" t="s">
        <v>30</v>
      </c>
      <c r="F23" s="84" t="s">
        <v>31</v>
      </c>
      <c r="G23" s="85" t="s">
        <v>32</v>
      </c>
      <c r="H23" s="84" t="s">
        <v>33</v>
      </c>
      <c r="I23" s="85" t="s">
        <v>34</v>
      </c>
      <c r="J23" s="84" t="s">
        <v>35</v>
      </c>
      <c r="K23" s="85" t="s">
        <v>36</v>
      </c>
      <c r="L23" s="84" t="s">
        <v>33</v>
      </c>
      <c r="M23" s="85" t="s">
        <v>34</v>
      </c>
      <c r="N23" s="77"/>
      <c r="O23" s="78"/>
      <c r="P23" s="78"/>
      <c r="Q23" s="79"/>
      <c r="Y23" s="1"/>
    </row>
    <row r="24" spans="2:27" ht="22.75" customHeight="1" thickBot="1" x14ac:dyDescent="0.3">
      <c r="B24" s="152"/>
      <c r="C24" s="12" t="s">
        <v>38</v>
      </c>
      <c r="D24" s="86" t="s">
        <v>39</v>
      </c>
      <c r="E24" s="87" t="s">
        <v>40</v>
      </c>
      <c r="F24" s="86" t="s">
        <v>41</v>
      </c>
      <c r="G24" s="87" t="s">
        <v>42</v>
      </c>
      <c r="H24" s="86" t="s">
        <v>43</v>
      </c>
      <c r="I24" s="87" t="s">
        <v>44</v>
      </c>
      <c r="J24" s="86" t="s">
        <v>45</v>
      </c>
      <c r="K24" s="87" t="s">
        <v>46</v>
      </c>
      <c r="L24" s="86" t="s">
        <v>47</v>
      </c>
      <c r="M24" s="87" t="s">
        <v>48</v>
      </c>
      <c r="N24" s="69"/>
      <c r="O24" s="18" t="s">
        <v>26</v>
      </c>
      <c r="P24" s="18" t="s">
        <v>27</v>
      </c>
      <c r="Q24" s="91" t="s">
        <v>49</v>
      </c>
    </row>
    <row r="25" spans="2:27" ht="25.25" customHeight="1" x14ac:dyDescent="0.25">
      <c r="B25" s="63" t="b">
        <v>0</v>
      </c>
      <c r="C25" s="105" t="s">
        <v>50</v>
      </c>
      <c r="D25" s="103">
        <v>0</v>
      </c>
      <c r="E25" s="104">
        <v>0</v>
      </c>
      <c r="F25" s="103">
        <v>0</v>
      </c>
      <c r="G25" s="104">
        <v>0</v>
      </c>
      <c r="H25" s="103">
        <v>0</v>
      </c>
      <c r="I25" s="104">
        <v>0</v>
      </c>
      <c r="J25" s="103">
        <v>0</v>
      </c>
      <c r="K25" s="104">
        <v>0</v>
      </c>
      <c r="L25" s="103">
        <v>0</v>
      </c>
      <c r="M25" s="104"/>
      <c r="N25" s="72"/>
      <c r="O25" s="80">
        <f t="shared" ref="O25:O50" si="4">D25+F25+I25+K25+M25</f>
        <v>0</v>
      </c>
      <c r="P25" s="80">
        <f t="shared" ref="P25:P50" si="5">E25+G25+H25+J25+L25</f>
        <v>0</v>
      </c>
      <c r="Q25" s="81">
        <f t="shared" ref="Q25:Q50" si="6">P25-O25</f>
        <v>0</v>
      </c>
      <c r="S25" s="6"/>
    </row>
    <row r="26" spans="2:27" ht="25.25" customHeight="1" x14ac:dyDescent="0.25">
      <c r="B26" s="64" t="b">
        <v>0</v>
      </c>
      <c r="C26" s="101" t="s">
        <v>51</v>
      </c>
      <c r="D26" s="99">
        <v>50</v>
      </c>
      <c r="E26" s="100"/>
      <c r="F26" s="99">
        <v>800</v>
      </c>
      <c r="G26" s="100"/>
      <c r="H26" s="99"/>
      <c r="I26" s="100">
        <v>150</v>
      </c>
      <c r="J26" s="99">
        <v>1000</v>
      </c>
      <c r="K26" s="100"/>
      <c r="L26" s="99"/>
      <c r="M26" s="100"/>
      <c r="N26" s="75"/>
      <c r="O26" s="82">
        <f t="shared" si="4"/>
        <v>1000</v>
      </c>
      <c r="P26" s="82">
        <f t="shared" si="5"/>
        <v>1000</v>
      </c>
      <c r="Q26" s="41">
        <f t="shared" si="6"/>
        <v>0</v>
      </c>
      <c r="S26" s="6"/>
    </row>
    <row r="27" spans="2:27" ht="25.25" customHeight="1" x14ac:dyDescent="0.25">
      <c r="B27" s="64" t="b">
        <v>1</v>
      </c>
      <c r="C27" s="101" t="s">
        <v>52</v>
      </c>
      <c r="D27" s="99">
        <v>50</v>
      </c>
      <c r="E27" s="100"/>
      <c r="F27" s="99">
        <v>800</v>
      </c>
      <c r="G27" s="100"/>
      <c r="H27" s="99"/>
      <c r="I27" s="100">
        <v>150</v>
      </c>
      <c r="J27" s="99">
        <v>1000</v>
      </c>
      <c r="K27" s="100"/>
      <c r="L27" s="99"/>
      <c r="M27" s="100"/>
      <c r="N27" s="75"/>
      <c r="O27" s="82">
        <f t="shared" si="4"/>
        <v>1000</v>
      </c>
      <c r="P27" s="82">
        <f t="shared" si="5"/>
        <v>1000</v>
      </c>
      <c r="Q27" s="41">
        <f t="shared" si="6"/>
        <v>0</v>
      </c>
      <c r="S27" s="6"/>
    </row>
    <row r="28" spans="2:27" ht="25.25" customHeight="1" x14ac:dyDescent="0.25">
      <c r="B28" s="64" t="b">
        <v>0</v>
      </c>
      <c r="C28" s="101" t="s">
        <v>53</v>
      </c>
      <c r="D28" s="99">
        <v>50</v>
      </c>
      <c r="E28" s="100"/>
      <c r="F28" s="99">
        <v>800</v>
      </c>
      <c r="G28" s="100"/>
      <c r="H28" s="99"/>
      <c r="I28" s="100">
        <v>150</v>
      </c>
      <c r="J28" s="99">
        <v>1000</v>
      </c>
      <c r="K28" s="100"/>
      <c r="L28" s="99"/>
      <c r="M28" s="100"/>
      <c r="N28" s="75"/>
      <c r="O28" s="82">
        <f t="shared" si="4"/>
        <v>1000</v>
      </c>
      <c r="P28" s="82">
        <f t="shared" si="5"/>
        <v>1000</v>
      </c>
      <c r="Q28" s="41">
        <f t="shared" si="6"/>
        <v>0</v>
      </c>
      <c r="S28" s="6"/>
    </row>
    <row r="29" spans="2:27" ht="25.25" customHeight="1" x14ac:dyDescent="0.25">
      <c r="B29" s="64" t="b">
        <v>0</v>
      </c>
      <c r="C29" s="101" t="s">
        <v>54</v>
      </c>
      <c r="D29" s="99">
        <v>50</v>
      </c>
      <c r="E29" s="100"/>
      <c r="F29" s="99">
        <v>800</v>
      </c>
      <c r="G29" s="100"/>
      <c r="H29" s="99"/>
      <c r="I29" s="100">
        <v>150</v>
      </c>
      <c r="J29" s="99">
        <v>1000</v>
      </c>
      <c r="K29" s="100"/>
      <c r="L29" s="99"/>
      <c r="M29" s="100"/>
      <c r="N29" s="75"/>
      <c r="O29" s="82">
        <f t="shared" si="4"/>
        <v>1000</v>
      </c>
      <c r="P29" s="82">
        <f t="shared" si="5"/>
        <v>1000</v>
      </c>
      <c r="Q29" s="41">
        <f t="shared" si="6"/>
        <v>0</v>
      </c>
      <c r="S29" s="6"/>
    </row>
    <row r="30" spans="2:27" ht="25.25" customHeight="1" x14ac:dyDescent="0.25">
      <c r="B30" s="64" t="b">
        <v>0</v>
      </c>
      <c r="C30" s="101" t="s">
        <v>55</v>
      </c>
      <c r="D30" s="99"/>
      <c r="E30" s="100"/>
      <c r="F30" s="99"/>
      <c r="G30" s="100"/>
      <c r="H30" s="99">
        <v>600</v>
      </c>
      <c r="I30" s="100"/>
      <c r="J30" s="99"/>
      <c r="K30" s="100"/>
      <c r="L30" s="99"/>
      <c r="M30" s="100">
        <v>600</v>
      </c>
      <c r="N30" s="75"/>
      <c r="O30" s="82">
        <f t="shared" si="4"/>
        <v>600</v>
      </c>
      <c r="P30" s="82">
        <f t="shared" si="5"/>
        <v>600</v>
      </c>
      <c r="Q30" s="41">
        <f t="shared" si="6"/>
        <v>0</v>
      </c>
      <c r="R30" s="6"/>
      <c r="S30" s="6"/>
      <c r="T30" s="6"/>
      <c r="U30" s="6"/>
      <c r="V30" s="6"/>
      <c r="W30" s="6"/>
      <c r="X30" s="6"/>
      <c r="Y30" s="6"/>
    </row>
    <row r="31" spans="2:27" ht="25.25" customHeight="1" x14ac:dyDescent="0.25">
      <c r="B31" s="64" t="b">
        <v>0</v>
      </c>
      <c r="C31" s="102" t="s">
        <v>56</v>
      </c>
      <c r="D31" s="103"/>
      <c r="E31" s="104"/>
      <c r="F31" s="103"/>
      <c r="G31" s="104">
        <f>SUM(F$25:F29)-SUM(G$25:G29)</f>
        <v>3200</v>
      </c>
      <c r="H31" s="103"/>
      <c r="I31" s="104"/>
      <c r="J31" s="103"/>
      <c r="K31" s="104">
        <f>SUM(J$25:J29)-SUM(K$25:K29)</f>
        <v>4000</v>
      </c>
      <c r="L31" s="103">
        <f>K31-G31</f>
        <v>800</v>
      </c>
      <c r="M31" s="104"/>
      <c r="N31" s="75"/>
      <c r="O31" s="82">
        <f t="shared" si="4"/>
        <v>4000</v>
      </c>
      <c r="P31" s="82">
        <f t="shared" si="5"/>
        <v>4000</v>
      </c>
      <c r="Q31" s="41">
        <f t="shared" si="6"/>
        <v>0</v>
      </c>
      <c r="S31" s="6"/>
    </row>
    <row r="32" spans="2:27" ht="25.25" customHeight="1" x14ac:dyDescent="0.25">
      <c r="B32" s="64" t="b">
        <v>0</v>
      </c>
      <c r="C32" s="101" t="s">
        <v>57</v>
      </c>
      <c r="D32" s="99">
        <f>J32-F32-I32</f>
        <v>69.999999999999886</v>
      </c>
      <c r="E32" s="100"/>
      <c r="F32" s="99">
        <f>F26*1.1</f>
        <v>880.00000000000011</v>
      </c>
      <c r="G32" s="100"/>
      <c r="H32" s="99"/>
      <c r="I32" s="100">
        <f>I26</f>
        <v>150</v>
      </c>
      <c r="J32" s="99">
        <f>J26*1.1</f>
        <v>1100</v>
      </c>
      <c r="K32" s="100"/>
      <c r="L32" s="99"/>
      <c r="M32" s="100"/>
      <c r="N32" s="75"/>
      <c r="O32" s="82">
        <f t="shared" si="4"/>
        <v>1100</v>
      </c>
      <c r="P32" s="82">
        <f t="shared" si="5"/>
        <v>1100</v>
      </c>
      <c r="Q32" s="41">
        <f t="shared" si="6"/>
        <v>0</v>
      </c>
      <c r="S32" s="6"/>
      <c r="AA32" t="s">
        <v>58</v>
      </c>
    </row>
    <row r="33" spans="2:19" ht="25.25" customHeight="1" x14ac:dyDescent="0.25">
      <c r="B33" s="64" t="b">
        <v>0</v>
      </c>
      <c r="C33" s="101" t="s">
        <v>59</v>
      </c>
      <c r="D33" s="99">
        <f>J33-F33-I33</f>
        <v>69.999999999999886</v>
      </c>
      <c r="E33" s="100"/>
      <c r="F33" s="99">
        <f>F27*1.1</f>
        <v>880.00000000000011</v>
      </c>
      <c r="G33" s="100"/>
      <c r="H33" s="99"/>
      <c r="I33" s="100">
        <f>I27</f>
        <v>150</v>
      </c>
      <c r="J33" s="99">
        <f>J27*1.1</f>
        <v>1100</v>
      </c>
      <c r="K33" s="100"/>
      <c r="L33" s="99"/>
      <c r="M33" s="100"/>
      <c r="N33" s="75"/>
      <c r="O33" s="82">
        <f t="shared" si="4"/>
        <v>1100</v>
      </c>
      <c r="P33" s="82">
        <f t="shared" si="5"/>
        <v>1100</v>
      </c>
      <c r="Q33" s="41">
        <f t="shared" si="6"/>
        <v>0</v>
      </c>
      <c r="S33" s="6"/>
    </row>
    <row r="34" spans="2:19" ht="25.25" customHeight="1" x14ac:dyDescent="0.25">
      <c r="B34" s="64" t="b">
        <v>0</v>
      </c>
      <c r="C34" s="101" t="s">
        <v>60</v>
      </c>
      <c r="D34" s="99">
        <f>J34-F34-I34</f>
        <v>69.999999999999886</v>
      </c>
      <c r="E34" s="100"/>
      <c r="F34" s="99">
        <f>F28*1.1</f>
        <v>880.00000000000011</v>
      </c>
      <c r="G34" s="100"/>
      <c r="H34" s="99"/>
      <c r="I34" s="100">
        <f>I28</f>
        <v>150</v>
      </c>
      <c r="J34" s="99">
        <f>J28*1.1</f>
        <v>1100</v>
      </c>
      <c r="K34" s="100"/>
      <c r="L34" s="99"/>
      <c r="M34" s="100"/>
      <c r="N34" s="75"/>
      <c r="O34" s="82">
        <f t="shared" si="4"/>
        <v>1100</v>
      </c>
      <c r="P34" s="82">
        <f t="shared" si="5"/>
        <v>1100</v>
      </c>
      <c r="Q34" s="41">
        <f t="shared" si="6"/>
        <v>0</v>
      </c>
      <c r="S34" s="6"/>
    </row>
    <row r="35" spans="2:19" ht="25.25" customHeight="1" x14ac:dyDescent="0.25">
      <c r="B35" s="64" t="b">
        <v>0</v>
      </c>
      <c r="C35" s="101" t="s">
        <v>61</v>
      </c>
      <c r="D35" s="99">
        <f>J35-F35-I35</f>
        <v>69.999999999999886</v>
      </c>
      <c r="E35" s="100"/>
      <c r="F35" s="99">
        <f>F29*1.1</f>
        <v>880.00000000000011</v>
      </c>
      <c r="G35" s="100"/>
      <c r="H35" s="99"/>
      <c r="I35" s="100">
        <f>I29</f>
        <v>150</v>
      </c>
      <c r="J35" s="99">
        <f>J29*1.1</f>
        <v>1100</v>
      </c>
      <c r="K35" s="100"/>
      <c r="L35" s="99"/>
      <c r="M35" s="100"/>
      <c r="N35" s="75"/>
      <c r="O35" s="82">
        <f t="shared" si="4"/>
        <v>1100</v>
      </c>
      <c r="P35" s="82">
        <f t="shared" si="5"/>
        <v>1100</v>
      </c>
      <c r="Q35" s="41">
        <f t="shared" si="6"/>
        <v>0</v>
      </c>
      <c r="S35" s="6"/>
    </row>
    <row r="36" spans="2:19" ht="25.25" customHeight="1" x14ac:dyDescent="0.25">
      <c r="B36" s="64" t="b">
        <v>0</v>
      </c>
      <c r="C36" s="101" t="s">
        <v>62</v>
      </c>
      <c r="D36" s="99"/>
      <c r="E36" s="100"/>
      <c r="F36" s="99"/>
      <c r="G36" s="100"/>
      <c r="H36" s="99">
        <v>600</v>
      </c>
      <c r="I36" s="100"/>
      <c r="J36" s="99"/>
      <c r="K36" s="100"/>
      <c r="L36" s="99"/>
      <c r="M36" s="100">
        <f>SUM(I32:I35)</f>
        <v>600</v>
      </c>
      <c r="N36" s="75"/>
      <c r="O36" s="82">
        <f t="shared" si="4"/>
        <v>600</v>
      </c>
      <c r="P36" s="82">
        <f t="shared" si="5"/>
        <v>600</v>
      </c>
      <c r="Q36" s="41">
        <f t="shared" si="6"/>
        <v>0</v>
      </c>
      <c r="S36" s="6"/>
    </row>
    <row r="37" spans="2:19" ht="25.25" customHeight="1" x14ac:dyDescent="0.25">
      <c r="B37" s="64" t="b">
        <v>0</v>
      </c>
      <c r="C37" s="106" t="s">
        <v>63</v>
      </c>
      <c r="D37" s="107"/>
      <c r="E37" s="108"/>
      <c r="F37" s="107"/>
      <c r="G37" s="108">
        <f>SUM(F$25:F35)-SUM(G$25:G35)</f>
        <v>3520</v>
      </c>
      <c r="H37" s="107"/>
      <c r="I37" s="108"/>
      <c r="J37" s="107"/>
      <c r="K37" s="108">
        <f>SUM(J$25:J35)-SUM(K$25:K35)</f>
        <v>4400</v>
      </c>
      <c r="L37" s="107">
        <f>K37-G37</f>
        <v>880</v>
      </c>
      <c r="M37" s="108"/>
      <c r="N37" s="75"/>
      <c r="O37" s="82">
        <f t="shared" si="4"/>
        <v>4400</v>
      </c>
      <c r="P37" s="82">
        <f t="shared" si="5"/>
        <v>4400</v>
      </c>
      <c r="Q37" s="41">
        <f t="shared" si="6"/>
        <v>0</v>
      </c>
      <c r="S37" s="6"/>
    </row>
    <row r="38" spans="2:19" ht="25.25" customHeight="1" x14ac:dyDescent="0.25">
      <c r="B38" s="64" t="b">
        <v>0</v>
      </c>
      <c r="C38" s="101" t="s">
        <v>64</v>
      </c>
      <c r="D38" s="99">
        <f>J38-F38-I38</f>
        <v>91.999999999999773</v>
      </c>
      <c r="E38" s="100"/>
      <c r="F38" s="99">
        <f>F32*1.1</f>
        <v>968.00000000000023</v>
      </c>
      <c r="G38" s="100"/>
      <c r="H38" s="99"/>
      <c r="I38" s="100">
        <f>I32</f>
        <v>150</v>
      </c>
      <c r="J38" s="99">
        <f>J32*1.1</f>
        <v>1210</v>
      </c>
      <c r="K38" s="100"/>
      <c r="L38" s="99"/>
      <c r="M38" s="100"/>
      <c r="N38" s="75"/>
      <c r="O38" s="82">
        <f t="shared" si="4"/>
        <v>1210</v>
      </c>
      <c r="P38" s="82">
        <f t="shared" si="5"/>
        <v>1210</v>
      </c>
      <c r="Q38" s="41">
        <f t="shared" si="6"/>
        <v>0</v>
      </c>
      <c r="S38" s="6"/>
    </row>
    <row r="39" spans="2:19" ht="25.25" customHeight="1" x14ac:dyDescent="0.25">
      <c r="B39" s="64" t="b">
        <v>0</v>
      </c>
      <c r="C39" s="101" t="s">
        <v>65</v>
      </c>
      <c r="D39" s="99">
        <f>J39-F39-I39</f>
        <v>91.999999999999773</v>
      </c>
      <c r="E39" s="100"/>
      <c r="F39" s="99">
        <f>F33*1.1</f>
        <v>968.00000000000023</v>
      </c>
      <c r="G39" s="100"/>
      <c r="H39" s="99"/>
      <c r="I39" s="100">
        <f>I33</f>
        <v>150</v>
      </c>
      <c r="J39" s="99">
        <f>J33*1.1</f>
        <v>1210</v>
      </c>
      <c r="K39" s="100"/>
      <c r="L39" s="99"/>
      <c r="M39" s="100"/>
      <c r="N39" s="75"/>
      <c r="O39" s="82">
        <f t="shared" si="4"/>
        <v>1210</v>
      </c>
      <c r="P39" s="82">
        <f t="shared" si="5"/>
        <v>1210</v>
      </c>
      <c r="Q39" s="41">
        <f t="shared" si="6"/>
        <v>0</v>
      </c>
      <c r="S39" s="6"/>
    </row>
    <row r="40" spans="2:19" ht="25.25" customHeight="1" x14ac:dyDescent="0.25">
      <c r="B40" s="64" t="b">
        <v>0</v>
      </c>
      <c r="C40" s="101" t="s">
        <v>66</v>
      </c>
      <c r="D40" s="99">
        <f>J40-F40-I40</f>
        <v>91.999999999999773</v>
      </c>
      <c r="E40" s="100"/>
      <c r="F40" s="99">
        <f>F34*1.1</f>
        <v>968.00000000000023</v>
      </c>
      <c r="G40" s="100"/>
      <c r="H40" s="99"/>
      <c r="I40" s="100">
        <f>I34</f>
        <v>150</v>
      </c>
      <c r="J40" s="99">
        <f>J34*1.1</f>
        <v>1210</v>
      </c>
      <c r="K40" s="100"/>
      <c r="L40" s="99"/>
      <c r="M40" s="100"/>
      <c r="N40" s="75"/>
      <c r="O40" s="82">
        <f t="shared" si="4"/>
        <v>1210</v>
      </c>
      <c r="P40" s="82">
        <f t="shared" si="5"/>
        <v>1210</v>
      </c>
      <c r="Q40" s="41">
        <f t="shared" si="6"/>
        <v>0</v>
      </c>
      <c r="S40" s="6"/>
    </row>
    <row r="41" spans="2:19" ht="25.25" customHeight="1" x14ac:dyDescent="0.25">
      <c r="B41" s="64" t="b">
        <v>0</v>
      </c>
      <c r="C41" s="101" t="s">
        <v>67</v>
      </c>
      <c r="D41" s="99">
        <f>J41-F41-I41</f>
        <v>91.999999999999773</v>
      </c>
      <c r="E41" s="100"/>
      <c r="F41" s="99">
        <f>F35*1.1</f>
        <v>968.00000000000023</v>
      </c>
      <c r="G41" s="100"/>
      <c r="H41" s="99"/>
      <c r="I41" s="100">
        <f>I35</f>
        <v>150</v>
      </c>
      <c r="J41" s="99">
        <f>J35*1.1</f>
        <v>1210</v>
      </c>
      <c r="K41" s="100"/>
      <c r="L41" s="99"/>
      <c r="M41" s="100"/>
      <c r="N41" s="75"/>
      <c r="O41" s="82">
        <f t="shared" si="4"/>
        <v>1210</v>
      </c>
      <c r="P41" s="82">
        <f t="shared" si="5"/>
        <v>1210</v>
      </c>
      <c r="Q41" s="41">
        <f t="shared" si="6"/>
        <v>0</v>
      </c>
      <c r="S41" s="6"/>
    </row>
    <row r="42" spans="2:19" ht="25.25" customHeight="1" x14ac:dyDescent="0.25">
      <c r="B42" s="64" t="b">
        <v>0</v>
      </c>
      <c r="C42" s="101" t="s">
        <v>68</v>
      </c>
      <c r="D42" s="99"/>
      <c r="E42" s="100"/>
      <c r="F42" s="99"/>
      <c r="G42" s="100"/>
      <c r="H42" s="99">
        <v>600</v>
      </c>
      <c r="I42" s="100"/>
      <c r="J42" s="99"/>
      <c r="K42" s="100"/>
      <c r="L42" s="99"/>
      <c r="M42" s="100">
        <f>SUM(I38:I41)</f>
        <v>600</v>
      </c>
      <c r="N42" s="75"/>
      <c r="O42" s="82">
        <f t="shared" si="4"/>
        <v>600</v>
      </c>
      <c r="P42" s="82">
        <f t="shared" si="5"/>
        <v>600</v>
      </c>
      <c r="Q42" s="41">
        <f t="shared" si="6"/>
        <v>0</v>
      </c>
      <c r="S42" s="6"/>
    </row>
    <row r="43" spans="2:19" ht="25.25" customHeight="1" x14ac:dyDescent="0.25">
      <c r="B43" s="64" t="b">
        <v>0</v>
      </c>
      <c r="C43" s="102" t="s">
        <v>69</v>
      </c>
      <c r="D43" s="103"/>
      <c r="E43" s="104"/>
      <c r="F43" s="103"/>
      <c r="G43" s="104">
        <f>SUM(F$25:F41)-SUM(G$25:G41)</f>
        <v>3872</v>
      </c>
      <c r="H43" s="103"/>
      <c r="I43" s="104"/>
      <c r="J43" s="103"/>
      <c r="K43" s="104">
        <f>SUM(J$25:J41)-SUM(K$25:K41)</f>
        <v>4840</v>
      </c>
      <c r="L43" s="103">
        <f>K43-G43</f>
        <v>968</v>
      </c>
      <c r="M43" s="104"/>
      <c r="N43" s="75"/>
      <c r="O43" s="82">
        <f t="shared" si="4"/>
        <v>4840</v>
      </c>
      <c r="P43" s="82">
        <f t="shared" si="5"/>
        <v>4840</v>
      </c>
      <c r="Q43" s="41">
        <f t="shared" si="6"/>
        <v>0</v>
      </c>
      <c r="S43" s="6"/>
    </row>
    <row r="44" spans="2:19" ht="25.25" customHeight="1" x14ac:dyDescent="0.25">
      <c r="B44" s="64" t="b">
        <v>0</v>
      </c>
      <c r="C44" s="101" t="s">
        <v>70</v>
      </c>
      <c r="D44" s="99">
        <f>J44-F44-I44</f>
        <v>116.19999999999959</v>
      </c>
      <c r="E44" s="100"/>
      <c r="F44" s="99">
        <f>F38*1.1</f>
        <v>1064.8000000000004</v>
      </c>
      <c r="G44" s="100"/>
      <c r="H44" s="99"/>
      <c r="I44" s="100">
        <f>I38</f>
        <v>150</v>
      </c>
      <c r="J44" s="99">
        <f>J38*1.1</f>
        <v>1331</v>
      </c>
      <c r="K44" s="100"/>
      <c r="L44" s="99"/>
      <c r="M44" s="100"/>
      <c r="N44" s="75"/>
      <c r="O44" s="82">
        <f t="shared" si="4"/>
        <v>1331</v>
      </c>
      <c r="P44" s="82">
        <f t="shared" si="5"/>
        <v>1331</v>
      </c>
      <c r="Q44" s="41">
        <f t="shared" si="6"/>
        <v>0</v>
      </c>
      <c r="S44" s="6"/>
    </row>
    <row r="45" spans="2:19" ht="25.25" customHeight="1" x14ac:dyDescent="0.25">
      <c r="B45" s="64" t="b">
        <v>0</v>
      </c>
      <c r="C45" s="101" t="s">
        <v>71</v>
      </c>
      <c r="D45" s="99">
        <f>J45-F45-I45</f>
        <v>116.19999999999959</v>
      </c>
      <c r="E45" s="100"/>
      <c r="F45" s="99">
        <f>F39*1.1</f>
        <v>1064.8000000000004</v>
      </c>
      <c r="G45" s="100"/>
      <c r="H45" s="99"/>
      <c r="I45" s="100">
        <f>I39</f>
        <v>150</v>
      </c>
      <c r="J45" s="99">
        <f>J39*1.1</f>
        <v>1331</v>
      </c>
      <c r="K45" s="100"/>
      <c r="L45" s="99"/>
      <c r="M45" s="100"/>
      <c r="N45" s="75"/>
      <c r="O45" s="82">
        <f t="shared" si="4"/>
        <v>1331</v>
      </c>
      <c r="P45" s="82">
        <f t="shared" si="5"/>
        <v>1331</v>
      </c>
      <c r="Q45" s="41">
        <f t="shared" si="6"/>
        <v>0</v>
      </c>
      <c r="S45" s="6"/>
    </row>
    <row r="46" spans="2:19" ht="25.25" customHeight="1" x14ac:dyDescent="0.25">
      <c r="B46" s="64" t="b">
        <v>0</v>
      </c>
      <c r="C46" s="101" t="s">
        <v>72</v>
      </c>
      <c r="D46" s="99">
        <f>J46-F46-I46</f>
        <v>116.19999999999959</v>
      </c>
      <c r="E46" s="100"/>
      <c r="F46" s="99">
        <f>F40*1.1</f>
        <v>1064.8000000000004</v>
      </c>
      <c r="G46" s="100"/>
      <c r="H46" s="99"/>
      <c r="I46" s="100">
        <f>I40</f>
        <v>150</v>
      </c>
      <c r="J46" s="99">
        <f>J40*1.1</f>
        <v>1331</v>
      </c>
      <c r="K46" s="100"/>
      <c r="L46" s="99"/>
      <c r="M46" s="100"/>
      <c r="N46" s="75"/>
      <c r="O46" s="82">
        <f t="shared" si="4"/>
        <v>1331</v>
      </c>
      <c r="P46" s="82">
        <f t="shared" si="5"/>
        <v>1331</v>
      </c>
      <c r="Q46" s="41">
        <f t="shared" si="6"/>
        <v>0</v>
      </c>
      <c r="S46" s="6"/>
    </row>
    <row r="47" spans="2:19" ht="25.25" customHeight="1" x14ac:dyDescent="0.25">
      <c r="B47" s="64" t="b">
        <v>0</v>
      </c>
      <c r="C47" s="101" t="s">
        <v>73</v>
      </c>
      <c r="D47" s="99">
        <f>J47-F47-I47</f>
        <v>116.19999999999959</v>
      </c>
      <c r="E47" s="100"/>
      <c r="F47" s="99">
        <f>F41*1.1</f>
        <v>1064.8000000000004</v>
      </c>
      <c r="G47" s="100"/>
      <c r="H47" s="99"/>
      <c r="I47" s="100">
        <f>I41</f>
        <v>150</v>
      </c>
      <c r="J47" s="99">
        <f>J41*1.1</f>
        <v>1331</v>
      </c>
      <c r="K47" s="100"/>
      <c r="L47" s="99"/>
      <c r="M47" s="100"/>
      <c r="N47" s="75"/>
      <c r="O47" s="82">
        <f t="shared" si="4"/>
        <v>1331</v>
      </c>
      <c r="P47" s="82">
        <f t="shared" si="5"/>
        <v>1331</v>
      </c>
      <c r="Q47" s="41">
        <f t="shared" si="6"/>
        <v>0</v>
      </c>
      <c r="S47" s="6"/>
    </row>
    <row r="48" spans="2:19" ht="25.25" customHeight="1" x14ac:dyDescent="0.25">
      <c r="B48" s="64" t="b">
        <v>0</v>
      </c>
      <c r="C48" s="101" t="s">
        <v>74</v>
      </c>
      <c r="D48" s="99"/>
      <c r="E48" s="100">
        <v>1000</v>
      </c>
      <c r="F48" s="99"/>
      <c r="G48" s="100"/>
      <c r="H48" s="99"/>
      <c r="I48" s="100">
        <v>1000</v>
      </c>
      <c r="J48" s="99"/>
      <c r="K48" s="100"/>
      <c r="L48" s="99"/>
      <c r="M48" s="100"/>
      <c r="N48" s="75"/>
      <c r="O48" s="82">
        <f t="shared" si="4"/>
        <v>1000</v>
      </c>
      <c r="P48" s="82">
        <f t="shared" si="5"/>
        <v>1000</v>
      </c>
      <c r="Q48" s="41">
        <f t="shared" si="6"/>
        <v>0</v>
      </c>
      <c r="S48" s="6"/>
    </row>
    <row r="49" spans="2:19" ht="25.25" customHeight="1" x14ac:dyDescent="0.25">
      <c r="B49" s="64" t="b">
        <v>0</v>
      </c>
      <c r="C49" s="101" t="s">
        <v>75</v>
      </c>
      <c r="D49" s="99"/>
      <c r="E49" s="100"/>
      <c r="F49" s="99"/>
      <c r="G49" s="100"/>
      <c r="H49" s="99">
        <v>1600</v>
      </c>
      <c r="I49" s="100"/>
      <c r="J49" s="99"/>
      <c r="K49" s="100"/>
      <c r="L49" s="99"/>
      <c r="M49" s="100">
        <v>1600</v>
      </c>
      <c r="N49" s="75"/>
      <c r="O49" s="82">
        <f t="shared" si="4"/>
        <v>1600</v>
      </c>
      <c r="P49" s="82">
        <f t="shared" si="5"/>
        <v>1600</v>
      </c>
      <c r="Q49" s="41">
        <f t="shared" si="6"/>
        <v>0</v>
      </c>
      <c r="S49" s="6"/>
    </row>
    <row r="50" spans="2:19" ht="26.75" customHeight="1" thickBot="1" x14ac:dyDescent="0.3">
      <c r="B50" s="65" t="b">
        <v>0</v>
      </c>
      <c r="C50" s="109" t="s">
        <v>76</v>
      </c>
      <c r="D50" s="110">
        <f>D43</f>
        <v>0</v>
      </c>
      <c r="E50" s="111"/>
      <c r="F50" s="110">
        <f>F43</f>
        <v>0</v>
      </c>
      <c r="G50" s="111">
        <f>SUM(F$25:F47)-SUM(G$25:G47)</f>
        <v>4259.2000000000044</v>
      </c>
      <c r="H50" s="110"/>
      <c r="I50" s="111">
        <f>I43</f>
        <v>0</v>
      </c>
      <c r="J50" s="110"/>
      <c r="K50" s="111">
        <f>SUM(J$25:J47)-SUM(K$25:K47)</f>
        <v>5324</v>
      </c>
      <c r="L50" s="110">
        <f>K50-G50</f>
        <v>1064.7999999999956</v>
      </c>
      <c r="M50" s="111"/>
      <c r="N50" s="77"/>
      <c r="O50" s="83">
        <f t="shared" si="4"/>
        <v>5324</v>
      </c>
      <c r="P50" s="83">
        <f t="shared" si="5"/>
        <v>5324</v>
      </c>
      <c r="Q50" s="42">
        <f t="shared" si="6"/>
        <v>0</v>
      </c>
      <c r="S50" s="6"/>
    </row>
    <row r="51" spans="2:19" x14ac:dyDescent="0.2">
      <c r="C51" s="3"/>
    </row>
    <row r="52" spans="2:19" x14ac:dyDescent="0.2">
      <c r="C52" s="3"/>
    </row>
    <row r="53" spans="2:19" x14ac:dyDescent="0.2">
      <c r="C53" s="3"/>
    </row>
    <row r="54" spans="2:19" x14ac:dyDescent="0.2">
      <c r="C54" s="3"/>
    </row>
    <row r="55" spans="2:19" x14ac:dyDescent="0.2">
      <c r="C55" s="3"/>
    </row>
    <row r="56" spans="2:19" x14ac:dyDescent="0.2">
      <c r="C56" s="3"/>
    </row>
    <row r="57" spans="2:19" x14ac:dyDescent="0.2">
      <c r="C57" s="3"/>
    </row>
    <row r="58" spans="2:19" x14ac:dyDescent="0.2">
      <c r="C58" s="3"/>
    </row>
    <row r="59" spans="2:19" x14ac:dyDescent="0.2">
      <c r="C59" s="3"/>
    </row>
    <row r="60" spans="2:19" x14ac:dyDescent="0.2">
      <c r="C60" s="3"/>
    </row>
    <row r="61" spans="2:19" x14ac:dyDescent="0.2">
      <c r="C61" s="3"/>
    </row>
    <row r="62" spans="2:19" x14ac:dyDescent="0.2">
      <c r="C62" s="3"/>
    </row>
    <row r="63" spans="2:19" x14ac:dyDescent="0.2">
      <c r="C63" s="3"/>
    </row>
    <row r="64" spans="2:19" x14ac:dyDescent="0.2">
      <c r="C64" s="3"/>
    </row>
    <row r="65" spans="3:3" x14ac:dyDescent="0.2">
      <c r="C65" s="3"/>
    </row>
    <row r="66" spans="3:3" x14ac:dyDescent="0.2">
      <c r="C66" s="3"/>
    </row>
    <row r="67" spans="3:3" x14ac:dyDescent="0.2">
      <c r="C67" s="3"/>
    </row>
    <row r="68" spans="3:3" x14ac:dyDescent="0.2">
      <c r="C68" s="3"/>
    </row>
    <row r="69" spans="3:3" x14ac:dyDescent="0.2">
      <c r="C69" s="3"/>
    </row>
    <row r="70" spans="3:3" x14ac:dyDescent="0.2">
      <c r="C70" s="3"/>
    </row>
    <row r="71" spans="3:3" x14ac:dyDescent="0.2">
      <c r="C71" s="3"/>
    </row>
    <row r="72" spans="3:3" x14ac:dyDescent="0.2">
      <c r="C72" s="3"/>
    </row>
    <row r="73" spans="3:3" x14ac:dyDescent="0.2">
      <c r="C73" s="3"/>
    </row>
    <row r="74" spans="3:3" x14ac:dyDescent="0.2">
      <c r="C74" s="3"/>
    </row>
    <row r="75" spans="3:3" x14ac:dyDescent="0.2">
      <c r="C75" s="3"/>
    </row>
    <row r="76" spans="3:3" x14ac:dyDescent="0.2">
      <c r="C76" s="3"/>
    </row>
    <row r="77" spans="3:3" x14ac:dyDescent="0.2">
      <c r="C77" s="3"/>
    </row>
    <row r="78" spans="3:3" x14ac:dyDescent="0.2">
      <c r="C78" s="3"/>
    </row>
    <row r="79" spans="3:3" x14ac:dyDescent="0.2">
      <c r="C79" s="3"/>
    </row>
    <row r="80" spans="3:3" x14ac:dyDescent="0.2">
      <c r="C80" s="3"/>
    </row>
    <row r="81" spans="3:3" x14ac:dyDescent="0.2">
      <c r="C81" s="3"/>
    </row>
    <row r="82" spans="3:3" x14ac:dyDescent="0.2">
      <c r="C82" s="3"/>
    </row>
    <row r="83" spans="3:3" x14ac:dyDescent="0.2">
      <c r="C83" s="3"/>
    </row>
    <row r="84" spans="3:3" x14ac:dyDescent="0.2">
      <c r="C84" s="3"/>
    </row>
    <row r="85" spans="3:3" x14ac:dyDescent="0.2">
      <c r="C85" s="3"/>
    </row>
    <row r="86" spans="3:3" x14ac:dyDescent="0.2">
      <c r="C86" s="3"/>
    </row>
    <row r="87" spans="3:3" x14ac:dyDescent="0.2">
      <c r="C87" s="3"/>
    </row>
    <row r="88" spans="3:3" x14ac:dyDescent="0.2">
      <c r="C88" s="3"/>
    </row>
    <row r="89" spans="3:3" x14ac:dyDescent="0.2">
      <c r="C89" s="3"/>
    </row>
    <row r="90" spans="3:3" x14ac:dyDescent="0.2">
      <c r="C90" s="3"/>
    </row>
    <row r="91" spans="3:3" x14ac:dyDescent="0.2">
      <c r="C91" s="3"/>
    </row>
    <row r="92" spans="3:3" x14ac:dyDescent="0.2">
      <c r="C92" s="3"/>
    </row>
    <row r="93" spans="3:3" x14ac:dyDescent="0.2">
      <c r="C93" s="3"/>
    </row>
    <row r="94" spans="3:3" x14ac:dyDescent="0.2">
      <c r="C94" s="3"/>
    </row>
    <row r="95" spans="3:3" x14ac:dyDescent="0.2">
      <c r="C95" s="3"/>
    </row>
    <row r="96" spans="3:3" x14ac:dyDescent="0.2">
      <c r="C96" s="3"/>
    </row>
    <row r="97" spans="3:3" x14ac:dyDescent="0.2">
      <c r="C97" s="3"/>
    </row>
    <row r="98" spans="3:3" x14ac:dyDescent="0.2">
      <c r="C98" s="3"/>
    </row>
    <row r="99" spans="3:3" x14ac:dyDescent="0.2">
      <c r="C99" s="3"/>
    </row>
    <row r="100" spans="3:3" x14ac:dyDescent="0.2">
      <c r="C100" s="3"/>
    </row>
    <row r="101" spans="3:3" x14ac:dyDescent="0.2">
      <c r="C101" s="3"/>
    </row>
    <row r="102" spans="3:3" x14ac:dyDescent="0.2">
      <c r="C102" s="3"/>
    </row>
    <row r="103" spans="3:3" x14ac:dyDescent="0.2">
      <c r="C103" s="3"/>
    </row>
    <row r="104" spans="3:3" x14ac:dyDescent="0.2">
      <c r="C104" s="3"/>
    </row>
    <row r="105" spans="3:3" x14ac:dyDescent="0.2">
      <c r="C105" s="3"/>
    </row>
    <row r="106" spans="3:3" x14ac:dyDescent="0.2">
      <c r="C106" s="3"/>
    </row>
    <row r="107" spans="3:3" x14ac:dyDescent="0.2">
      <c r="C107" s="3"/>
    </row>
    <row r="108" spans="3:3" x14ac:dyDescent="0.2">
      <c r="C108" s="3"/>
    </row>
    <row r="109" spans="3:3" x14ac:dyDescent="0.2">
      <c r="C109" s="3"/>
    </row>
    <row r="110" spans="3:3" x14ac:dyDescent="0.2">
      <c r="C110" s="3"/>
    </row>
    <row r="111" spans="3:3" x14ac:dyDescent="0.2">
      <c r="C111" s="3"/>
    </row>
    <row r="112" spans="3:3" x14ac:dyDescent="0.2">
      <c r="C112" s="3"/>
    </row>
    <row r="113" spans="3:3" x14ac:dyDescent="0.2">
      <c r="C113" s="3"/>
    </row>
    <row r="114" spans="3:3" x14ac:dyDescent="0.2">
      <c r="C114" s="3"/>
    </row>
    <row r="115" spans="3:3" x14ac:dyDescent="0.2">
      <c r="C115" s="3"/>
    </row>
    <row r="116" spans="3:3" x14ac:dyDescent="0.2">
      <c r="C116" s="3"/>
    </row>
    <row r="117" spans="3:3" x14ac:dyDescent="0.2">
      <c r="C117" s="3"/>
    </row>
    <row r="118" spans="3:3" x14ac:dyDescent="0.2">
      <c r="C118" s="3"/>
    </row>
    <row r="119" spans="3:3" x14ac:dyDescent="0.2">
      <c r="C119" s="3"/>
    </row>
    <row r="120" spans="3:3" x14ac:dyDescent="0.2">
      <c r="C120" s="3"/>
    </row>
    <row r="121" spans="3:3" x14ac:dyDescent="0.2">
      <c r="C121" s="3"/>
    </row>
    <row r="122" spans="3:3" x14ac:dyDescent="0.2">
      <c r="C122" s="3"/>
    </row>
    <row r="123" spans="3:3" x14ac:dyDescent="0.2">
      <c r="C123" s="3"/>
    </row>
    <row r="124" spans="3:3" x14ac:dyDescent="0.2">
      <c r="C124" s="3"/>
    </row>
    <row r="125" spans="3:3" x14ac:dyDescent="0.2">
      <c r="C125" s="3"/>
    </row>
    <row r="126" spans="3:3" x14ac:dyDescent="0.2">
      <c r="C126" s="3"/>
    </row>
    <row r="127" spans="3:3" x14ac:dyDescent="0.2">
      <c r="C127" s="3"/>
    </row>
    <row r="128" spans="3:3" x14ac:dyDescent="0.2">
      <c r="C128" s="3"/>
    </row>
    <row r="129" spans="3:3" x14ac:dyDescent="0.2">
      <c r="C129" s="3"/>
    </row>
    <row r="130" spans="3:3" x14ac:dyDescent="0.2">
      <c r="C130" s="3"/>
    </row>
    <row r="131" spans="3:3" x14ac:dyDescent="0.2">
      <c r="C131" s="3"/>
    </row>
    <row r="132" spans="3:3" x14ac:dyDescent="0.2">
      <c r="C132" s="3"/>
    </row>
    <row r="133" spans="3:3" x14ac:dyDescent="0.2">
      <c r="C133" s="3"/>
    </row>
    <row r="134" spans="3:3" x14ac:dyDescent="0.2">
      <c r="C134" s="3"/>
    </row>
    <row r="135" spans="3:3" x14ac:dyDescent="0.2">
      <c r="C135" s="3"/>
    </row>
    <row r="136" spans="3:3" x14ac:dyDescent="0.2">
      <c r="C136" s="3"/>
    </row>
    <row r="137" spans="3:3" x14ac:dyDescent="0.2">
      <c r="C137" s="3"/>
    </row>
    <row r="138" spans="3:3" x14ac:dyDescent="0.2">
      <c r="C138" s="3"/>
    </row>
    <row r="139" spans="3:3" x14ac:dyDescent="0.2">
      <c r="C139" s="3"/>
    </row>
    <row r="140" spans="3:3" x14ac:dyDescent="0.2">
      <c r="C140" s="3"/>
    </row>
    <row r="141" spans="3:3" x14ac:dyDescent="0.2">
      <c r="C141" s="3"/>
    </row>
    <row r="142" spans="3:3" x14ac:dyDescent="0.2">
      <c r="C142" s="3"/>
    </row>
    <row r="143" spans="3:3" x14ac:dyDescent="0.2">
      <c r="C143" s="3"/>
    </row>
    <row r="144" spans="3:3" x14ac:dyDescent="0.2">
      <c r="C144" s="3"/>
    </row>
    <row r="145" spans="3:3" x14ac:dyDescent="0.2">
      <c r="C145" s="3"/>
    </row>
  </sheetData>
  <mergeCells count="6">
    <mergeCell ref="L20:M20"/>
    <mergeCell ref="B21:B24"/>
    <mergeCell ref="D20:E20"/>
    <mergeCell ref="F20:G20"/>
    <mergeCell ref="J20:K20"/>
    <mergeCell ref="H20:I20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G144"/>
  <sheetViews>
    <sheetView showGridLines="0" workbookViewId="0">
      <selection activeCell="F3" sqref="F3"/>
    </sheetView>
  </sheetViews>
  <sheetFormatPr baseColWidth="10" defaultColWidth="8.83203125" defaultRowHeight="16" x14ac:dyDescent="0.2"/>
  <cols>
    <col min="2" max="2" width="21.1640625" style="3" customWidth="1"/>
    <col min="3" max="3" width="18" customWidth="1"/>
    <col min="4" max="4" width="13.33203125" customWidth="1"/>
    <col min="5" max="5" width="13.1640625" customWidth="1"/>
    <col min="6" max="6" width="55" customWidth="1"/>
  </cols>
  <sheetData>
    <row r="4" spans="2:7" ht="39" x14ac:dyDescent="0.45">
      <c r="B4" s="128" t="s">
        <v>222</v>
      </c>
    </row>
    <row r="5" spans="2:7" ht="34" x14ac:dyDescent="0.4">
      <c r="B5" s="129" t="s">
        <v>223</v>
      </c>
    </row>
    <row r="8" spans="2:7" ht="17" customHeight="1" x14ac:dyDescent="0.25">
      <c r="B8" s="137" t="s">
        <v>95</v>
      </c>
      <c r="C8" s="137" t="s">
        <v>96</v>
      </c>
      <c r="D8" s="137" t="s">
        <v>97</v>
      </c>
      <c r="E8" s="137" t="s">
        <v>98</v>
      </c>
      <c r="F8" s="137" t="s">
        <v>99</v>
      </c>
    </row>
    <row r="9" spans="2:7" ht="17" customHeight="1" x14ac:dyDescent="0.2">
      <c r="B9" s="51" t="s">
        <v>50</v>
      </c>
      <c r="C9" s="47" t="s">
        <v>37</v>
      </c>
      <c r="D9" s="48"/>
      <c r="E9" s="48"/>
      <c r="F9" s="48" t="s">
        <v>100</v>
      </c>
    </row>
    <row r="10" spans="2:7" x14ac:dyDescent="0.2">
      <c r="B10" s="59" t="s">
        <v>101</v>
      </c>
      <c r="C10" s="52" t="s">
        <v>3</v>
      </c>
      <c r="D10" s="53">
        <v>50</v>
      </c>
      <c r="E10" s="53"/>
      <c r="F10" s="53"/>
      <c r="G10" s="52"/>
    </row>
    <row r="11" spans="2:7" x14ac:dyDescent="0.2">
      <c r="B11" s="59" t="s">
        <v>102</v>
      </c>
      <c r="C11" s="52" t="s">
        <v>4</v>
      </c>
      <c r="D11" s="53">
        <v>800</v>
      </c>
      <c r="E11" s="53"/>
      <c r="F11" s="53"/>
      <c r="G11" s="52"/>
    </row>
    <row r="12" spans="2:7" x14ac:dyDescent="0.2">
      <c r="B12" s="59" t="s">
        <v>103</v>
      </c>
      <c r="C12" s="52" t="s">
        <v>5</v>
      </c>
      <c r="D12" s="53">
        <v>150</v>
      </c>
      <c r="E12" s="53"/>
      <c r="F12" s="53"/>
      <c r="G12" s="52"/>
    </row>
    <row r="13" spans="2:7" x14ac:dyDescent="0.2">
      <c r="B13" s="59" t="s">
        <v>104</v>
      </c>
      <c r="C13" s="52" t="s">
        <v>6</v>
      </c>
      <c r="D13" s="53"/>
      <c r="E13" s="53">
        <v>1000</v>
      </c>
      <c r="F13" s="53"/>
      <c r="G13" s="52"/>
    </row>
    <row r="14" spans="2:7" x14ac:dyDescent="0.2">
      <c r="B14" s="60" t="s">
        <v>51</v>
      </c>
      <c r="C14" s="56" t="s">
        <v>37</v>
      </c>
      <c r="D14" s="57" t="s">
        <v>105</v>
      </c>
      <c r="E14" s="57"/>
      <c r="G14" s="58"/>
    </row>
    <row r="15" spans="2:7" x14ac:dyDescent="0.2">
      <c r="B15" s="60"/>
      <c r="C15" s="56"/>
      <c r="D15" s="57"/>
      <c r="E15" s="57"/>
      <c r="F15" s="57"/>
      <c r="G15" s="58"/>
    </row>
    <row r="16" spans="2:7" x14ac:dyDescent="0.2">
      <c r="B16" s="59" t="s">
        <v>106</v>
      </c>
      <c r="C16" s="52" t="s">
        <v>3</v>
      </c>
      <c r="D16" s="53">
        <v>50</v>
      </c>
      <c r="E16" s="53"/>
      <c r="F16" s="53"/>
      <c r="G16" s="52"/>
    </row>
    <row r="17" spans="2:7" x14ac:dyDescent="0.2">
      <c r="B17" s="59" t="s">
        <v>107</v>
      </c>
      <c r="C17" s="52" t="s">
        <v>4</v>
      </c>
      <c r="D17" s="53">
        <v>800</v>
      </c>
      <c r="E17" s="53"/>
      <c r="F17" s="53"/>
      <c r="G17" s="52"/>
    </row>
    <row r="18" spans="2:7" x14ac:dyDescent="0.2">
      <c r="B18" s="59" t="s">
        <v>108</v>
      </c>
      <c r="C18" s="52" t="s">
        <v>5</v>
      </c>
      <c r="D18" s="53">
        <v>150</v>
      </c>
      <c r="E18" s="53"/>
      <c r="F18" s="53"/>
      <c r="G18" s="52"/>
    </row>
    <row r="19" spans="2:7" x14ac:dyDescent="0.2">
      <c r="B19" s="59" t="s">
        <v>109</v>
      </c>
      <c r="C19" s="52" t="s">
        <v>6</v>
      </c>
      <c r="D19" s="53"/>
      <c r="E19" s="53">
        <v>1000</v>
      </c>
      <c r="F19" s="53"/>
      <c r="G19" s="52"/>
    </row>
    <row r="20" spans="2:7" x14ac:dyDescent="0.2">
      <c r="B20" s="60" t="s">
        <v>52</v>
      </c>
      <c r="C20" s="56" t="s">
        <v>37</v>
      </c>
      <c r="D20" s="57" t="s">
        <v>110</v>
      </c>
      <c r="E20" s="57"/>
      <c r="G20" s="52"/>
    </row>
    <row r="21" spans="2:7" x14ac:dyDescent="0.2">
      <c r="B21" s="60"/>
      <c r="C21" s="56"/>
      <c r="D21" s="57"/>
      <c r="E21" s="57"/>
      <c r="F21" s="57"/>
      <c r="G21" s="52"/>
    </row>
    <row r="22" spans="2:7" x14ac:dyDescent="0.2">
      <c r="B22" s="59" t="s">
        <v>111</v>
      </c>
      <c r="C22" s="52" t="s">
        <v>3</v>
      </c>
      <c r="D22" s="53">
        <v>50</v>
      </c>
      <c r="E22" s="53"/>
      <c r="F22" s="53"/>
      <c r="G22" s="52"/>
    </row>
    <row r="23" spans="2:7" x14ac:dyDescent="0.2">
      <c r="B23" s="59" t="s">
        <v>112</v>
      </c>
      <c r="C23" s="52" t="s">
        <v>4</v>
      </c>
      <c r="D23" s="53">
        <v>800</v>
      </c>
      <c r="E23" s="53"/>
      <c r="F23" s="53"/>
      <c r="G23" s="52"/>
    </row>
    <row r="24" spans="2:7" x14ac:dyDescent="0.2">
      <c r="B24" s="59" t="s">
        <v>113</v>
      </c>
      <c r="C24" s="52" t="s">
        <v>5</v>
      </c>
      <c r="D24" s="53">
        <v>150</v>
      </c>
      <c r="E24" s="53"/>
      <c r="F24" s="53"/>
      <c r="G24" s="52"/>
    </row>
    <row r="25" spans="2:7" x14ac:dyDescent="0.2">
      <c r="B25" s="59" t="s">
        <v>114</v>
      </c>
      <c r="C25" s="52" t="s">
        <v>6</v>
      </c>
      <c r="D25" s="53"/>
      <c r="E25" s="53">
        <v>1000</v>
      </c>
      <c r="F25" s="53"/>
      <c r="G25" s="52"/>
    </row>
    <row r="26" spans="2:7" x14ac:dyDescent="0.2">
      <c r="B26" s="60" t="s">
        <v>53</v>
      </c>
      <c r="C26" s="56" t="s">
        <v>37</v>
      </c>
      <c r="D26" s="57" t="s">
        <v>115</v>
      </c>
      <c r="E26" s="57"/>
      <c r="G26" s="52"/>
    </row>
    <row r="27" spans="2:7" x14ac:dyDescent="0.2">
      <c r="B27" s="60"/>
      <c r="C27" s="56"/>
      <c r="D27" s="57"/>
      <c r="E27" s="57"/>
      <c r="F27" s="57"/>
      <c r="G27" s="52"/>
    </row>
    <row r="28" spans="2:7" x14ac:dyDescent="0.2">
      <c r="B28" s="59" t="s">
        <v>116</v>
      </c>
      <c r="C28" s="52" t="s">
        <v>3</v>
      </c>
      <c r="D28" s="53">
        <v>50</v>
      </c>
      <c r="E28" s="53"/>
      <c r="F28" s="53"/>
      <c r="G28" s="52"/>
    </row>
    <row r="29" spans="2:7" x14ac:dyDescent="0.2">
      <c r="B29" s="59" t="s">
        <v>117</v>
      </c>
      <c r="C29" s="52" t="s">
        <v>4</v>
      </c>
      <c r="D29" s="53">
        <v>800</v>
      </c>
      <c r="E29" s="53"/>
      <c r="F29" s="53"/>
      <c r="G29" s="52"/>
    </row>
    <row r="30" spans="2:7" x14ac:dyDescent="0.2">
      <c r="B30" s="59" t="s">
        <v>118</v>
      </c>
      <c r="C30" s="52" t="s">
        <v>5</v>
      </c>
      <c r="D30" s="53">
        <v>150</v>
      </c>
      <c r="E30" s="53"/>
      <c r="F30" s="53"/>
      <c r="G30" s="52"/>
    </row>
    <row r="31" spans="2:7" x14ac:dyDescent="0.2">
      <c r="B31" s="59" t="s">
        <v>119</v>
      </c>
      <c r="C31" s="52" t="s">
        <v>6</v>
      </c>
      <c r="D31" s="53"/>
      <c r="E31" s="53">
        <v>1000</v>
      </c>
      <c r="F31" s="53"/>
      <c r="G31" s="52"/>
    </row>
    <row r="32" spans="2:7" x14ac:dyDescent="0.2">
      <c r="B32" s="60" t="s">
        <v>54</v>
      </c>
      <c r="C32" s="56" t="s">
        <v>37</v>
      </c>
      <c r="D32" s="57" t="s">
        <v>120</v>
      </c>
      <c r="E32" s="55"/>
      <c r="G32" s="52"/>
    </row>
    <row r="33" spans="2:7" x14ac:dyDescent="0.2">
      <c r="B33" s="61"/>
      <c r="C33" s="54"/>
      <c r="D33" s="55"/>
      <c r="E33" s="55"/>
      <c r="F33" s="55"/>
      <c r="G33" s="52"/>
    </row>
    <row r="34" spans="2:7" x14ac:dyDescent="0.2">
      <c r="B34" s="59" t="s">
        <v>121</v>
      </c>
      <c r="C34" s="52" t="s">
        <v>5</v>
      </c>
      <c r="D34" s="53"/>
      <c r="E34" s="53">
        <v>600</v>
      </c>
      <c r="F34" s="53"/>
      <c r="G34" s="52"/>
    </row>
    <row r="35" spans="2:7" x14ac:dyDescent="0.2">
      <c r="B35" s="59" t="s">
        <v>122</v>
      </c>
      <c r="C35" s="52" t="s">
        <v>226</v>
      </c>
      <c r="D35" s="53">
        <v>600</v>
      </c>
      <c r="E35" s="53"/>
      <c r="F35" s="53"/>
      <c r="G35" s="52"/>
    </row>
    <row r="36" spans="2:7" x14ac:dyDescent="0.2">
      <c r="B36" s="60" t="s">
        <v>55</v>
      </c>
      <c r="C36" s="56" t="s">
        <v>37</v>
      </c>
      <c r="D36" s="57" t="s">
        <v>123</v>
      </c>
      <c r="E36" s="55"/>
      <c r="G36" s="52"/>
    </row>
    <row r="37" spans="2:7" x14ac:dyDescent="0.2">
      <c r="B37" s="61"/>
      <c r="C37" s="54"/>
      <c r="D37" s="55"/>
      <c r="E37" s="55"/>
      <c r="F37" s="55"/>
      <c r="G37" s="52"/>
    </row>
    <row r="38" spans="2:7" x14ac:dyDescent="0.2">
      <c r="B38" s="59" t="s">
        <v>124</v>
      </c>
      <c r="C38" s="52" t="s">
        <v>4</v>
      </c>
      <c r="D38" s="53"/>
      <c r="E38" s="53">
        <v>3200</v>
      </c>
      <c r="F38" s="53"/>
      <c r="G38" s="52"/>
    </row>
    <row r="39" spans="2:7" x14ac:dyDescent="0.2">
      <c r="B39" s="59" t="s">
        <v>125</v>
      </c>
      <c r="C39" s="52" t="s">
        <v>6</v>
      </c>
      <c r="D39" s="53">
        <v>4000</v>
      </c>
      <c r="E39" s="53"/>
      <c r="F39" s="53"/>
      <c r="G39" s="52"/>
    </row>
    <row r="40" spans="2:7" x14ac:dyDescent="0.2">
      <c r="B40" s="59" t="s">
        <v>126</v>
      </c>
      <c r="C40" s="52" t="s">
        <v>226</v>
      </c>
      <c r="D40" s="53"/>
      <c r="E40" s="53">
        <v>800</v>
      </c>
      <c r="F40" s="53"/>
      <c r="G40" s="52"/>
    </row>
    <row r="41" spans="2:7" x14ac:dyDescent="0.2">
      <c r="B41" s="130" t="s">
        <v>56</v>
      </c>
      <c r="C41" s="131" t="s">
        <v>37</v>
      </c>
      <c r="D41" s="132" t="s">
        <v>229</v>
      </c>
      <c r="E41" s="132"/>
      <c r="F41" s="133"/>
      <c r="G41" s="52"/>
    </row>
    <row r="42" spans="2:7" x14ac:dyDescent="0.2">
      <c r="B42" s="61"/>
      <c r="C42" s="54"/>
      <c r="D42" s="55"/>
      <c r="E42" s="55"/>
      <c r="F42" s="55"/>
      <c r="G42" s="52"/>
    </row>
    <row r="43" spans="2:7" x14ac:dyDescent="0.2">
      <c r="B43" s="59" t="s">
        <v>127</v>
      </c>
      <c r="C43" s="52" t="s">
        <v>3</v>
      </c>
      <c r="D43" s="53">
        <v>70</v>
      </c>
      <c r="E43" s="53"/>
      <c r="F43" s="53"/>
      <c r="G43" s="52"/>
    </row>
    <row r="44" spans="2:7" x14ac:dyDescent="0.2">
      <c r="B44" s="59" t="s">
        <v>128</v>
      </c>
      <c r="C44" s="52" t="s">
        <v>4</v>
      </c>
      <c r="D44" s="53">
        <v>880</v>
      </c>
      <c r="E44" s="53"/>
      <c r="F44" s="53"/>
      <c r="G44" s="52"/>
    </row>
    <row r="45" spans="2:7" x14ac:dyDescent="0.2">
      <c r="B45" s="59" t="s">
        <v>129</v>
      </c>
      <c r="C45" s="52" t="s">
        <v>5</v>
      </c>
      <c r="D45" s="53">
        <v>150</v>
      </c>
      <c r="E45" s="53"/>
      <c r="F45" s="53"/>
      <c r="G45" s="52"/>
    </row>
    <row r="46" spans="2:7" x14ac:dyDescent="0.2">
      <c r="B46" s="59" t="s">
        <v>130</v>
      </c>
      <c r="C46" s="52" t="s">
        <v>6</v>
      </c>
      <c r="D46" s="53"/>
      <c r="E46" s="53">
        <v>1100</v>
      </c>
      <c r="F46" s="53"/>
      <c r="G46" s="52"/>
    </row>
    <row r="47" spans="2:7" x14ac:dyDescent="0.2">
      <c r="B47" s="60" t="s">
        <v>57</v>
      </c>
      <c r="C47" s="56" t="s">
        <v>37</v>
      </c>
      <c r="D47" s="57" t="s">
        <v>105</v>
      </c>
      <c r="E47" s="55"/>
      <c r="G47" s="52"/>
    </row>
    <row r="48" spans="2:7" x14ac:dyDescent="0.2">
      <c r="B48" s="61"/>
      <c r="C48" s="54"/>
      <c r="D48" s="55"/>
      <c r="E48" s="55"/>
      <c r="F48" s="55"/>
      <c r="G48" s="52"/>
    </row>
    <row r="49" spans="2:7" x14ac:dyDescent="0.2">
      <c r="B49" s="59" t="s">
        <v>131</v>
      </c>
      <c r="C49" s="52" t="s">
        <v>3</v>
      </c>
      <c r="D49" s="53">
        <v>70</v>
      </c>
      <c r="E49" s="53"/>
      <c r="F49" s="53"/>
      <c r="G49" s="52"/>
    </row>
    <row r="50" spans="2:7" x14ac:dyDescent="0.2">
      <c r="B50" s="59" t="s">
        <v>132</v>
      </c>
      <c r="C50" s="52" t="s">
        <v>4</v>
      </c>
      <c r="D50" s="53">
        <v>880</v>
      </c>
      <c r="E50" s="53"/>
      <c r="F50" s="53"/>
      <c r="G50" s="52"/>
    </row>
    <row r="51" spans="2:7" x14ac:dyDescent="0.2">
      <c r="B51" s="59" t="s">
        <v>133</v>
      </c>
      <c r="C51" s="52" t="s">
        <v>5</v>
      </c>
      <c r="D51" s="53">
        <v>150</v>
      </c>
      <c r="E51" s="53"/>
      <c r="F51" s="53"/>
      <c r="G51" s="52"/>
    </row>
    <row r="52" spans="2:7" x14ac:dyDescent="0.2">
      <c r="B52" s="59" t="s">
        <v>134</v>
      </c>
      <c r="C52" s="52" t="s">
        <v>6</v>
      </c>
      <c r="D52" s="53"/>
      <c r="E52" s="53">
        <v>1100</v>
      </c>
      <c r="F52" s="53"/>
      <c r="G52" s="52"/>
    </row>
    <row r="53" spans="2:7" x14ac:dyDescent="0.2">
      <c r="B53" s="60" t="s">
        <v>59</v>
      </c>
      <c r="C53" s="56" t="s">
        <v>37</v>
      </c>
      <c r="D53" s="57" t="s">
        <v>110</v>
      </c>
      <c r="E53" s="55"/>
      <c r="G53" s="52"/>
    </row>
    <row r="54" spans="2:7" x14ac:dyDescent="0.2">
      <c r="B54" s="61"/>
      <c r="C54" s="54"/>
      <c r="D54" s="55"/>
      <c r="E54" s="55"/>
      <c r="F54" s="55"/>
      <c r="G54" s="52"/>
    </row>
    <row r="55" spans="2:7" x14ac:dyDescent="0.2">
      <c r="B55" s="59" t="s">
        <v>135</v>
      </c>
      <c r="C55" s="52" t="s">
        <v>3</v>
      </c>
      <c r="D55" s="53">
        <v>70</v>
      </c>
      <c r="E55" s="53"/>
      <c r="F55" s="53"/>
      <c r="G55" s="52"/>
    </row>
    <row r="56" spans="2:7" x14ac:dyDescent="0.2">
      <c r="B56" s="59" t="s">
        <v>136</v>
      </c>
      <c r="C56" s="52" t="s">
        <v>4</v>
      </c>
      <c r="D56" s="53">
        <v>880</v>
      </c>
      <c r="E56" s="53"/>
      <c r="F56" s="53"/>
      <c r="G56" s="52"/>
    </row>
    <row r="57" spans="2:7" x14ac:dyDescent="0.2">
      <c r="B57" s="59" t="s">
        <v>137</v>
      </c>
      <c r="C57" s="52" t="s">
        <v>5</v>
      </c>
      <c r="D57" s="53">
        <v>150</v>
      </c>
      <c r="E57" s="53"/>
      <c r="F57" s="53"/>
      <c r="G57" s="52"/>
    </row>
    <row r="58" spans="2:7" x14ac:dyDescent="0.2">
      <c r="B58" s="59" t="s">
        <v>138</v>
      </c>
      <c r="C58" s="52" t="s">
        <v>6</v>
      </c>
      <c r="D58" s="53"/>
      <c r="E58" s="53">
        <v>1100</v>
      </c>
      <c r="F58" s="53"/>
      <c r="G58" s="52"/>
    </row>
    <row r="59" spans="2:7" x14ac:dyDescent="0.2">
      <c r="B59" s="60" t="s">
        <v>60</v>
      </c>
      <c r="C59" s="56" t="s">
        <v>37</v>
      </c>
      <c r="D59" s="57" t="s">
        <v>115</v>
      </c>
      <c r="E59" s="55"/>
      <c r="G59" s="52"/>
    </row>
    <row r="60" spans="2:7" x14ac:dyDescent="0.2">
      <c r="B60" s="61"/>
      <c r="C60" s="54"/>
      <c r="D60" s="55"/>
      <c r="E60" s="55"/>
      <c r="F60" s="55"/>
      <c r="G60" s="52"/>
    </row>
    <row r="61" spans="2:7" x14ac:dyDescent="0.2">
      <c r="B61" s="59" t="s">
        <v>139</v>
      </c>
      <c r="C61" s="52" t="s">
        <v>3</v>
      </c>
      <c r="D61" s="53">
        <v>70</v>
      </c>
      <c r="E61" s="53"/>
      <c r="F61" s="53"/>
      <c r="G61" s="52"/>
    </row>
    <row r="62" spans="2:7" x14ac:dyDescent="0.2">
      <c r="B62" s="59" t="s">
        <v>140</v>
      </c>
      <c r="C62" s="52" t="s">
        <v>4</v>
      </c>
      <c r="D62" s="53">
        <v>880</v>
      </c>
      <c r="E62" s="53"/>
      <c r="F62" s="53"/>
      <c r="G62" s="52"/>
    </row>
    <row r="63" spans="2:7" x14ac:dyDescent="0.2">
      <c r="B63" s="59" t="s">
        <v>141</v>
      </c>
      <c r="C63" s="52" t="s">
        <v>5</v>
      </c>
      <c r="D63" s="53">
        <v>150</v>
      </c>
      <c r="E63" s="53"/>
      <c r="F63" s="53"/>
      <c r="G63" s="52"/>
    </row>
    <row r="64" spans="2:7" x14ac:dyDescent="0.2">
      <c r="B64" s="59" t="s">
        <v>142</v>
      </c>
      <c r="C64" s="52" t="s">
        <v>6</v>
      </c>
      <c r="D64" s="53"/>
      <c r="E64" s="53">
        <v>1100</v>
      </c>
      <c r="F64" s="53"/>
      <c r="G64" s="52"/>
    </row>
    <row r="65" spans="1:7" x14ac:dyDescent="0.2">
      <c r="A65" s="2"/>
      <c r="B65" s="60" t="s">
        <v>61</v>
      </c>
      <c r="C65" s="56" t="s">
        <v>37</v>
      </c>
      <c r="D65" s="57" t="s">
        <v>120</v>
      </c>
      <c r="E65" s="57"/>
      <c r="F65" s="2"/>
      <c r="G65" s="58"/>
    </row>
    <row r="66" spans="1:7" x14ac:dyDescent="0.2">
      <c r="B66" s="61"/>
      <c r="C66" s="54"/>
      <c r="D66" s="55"/>
      <c r="E66" s="55"/>
      <c r="F66" s="55"/>
      <c r="G66" s="52"/>
    </row>
    <row r="67" spans="1:7" x14ac:dyDescent="0.2">
      <c r="B67" s="59" t="s">
        <v>143</v>
      </c>
      <c r="C67" s="52" t="s">
        <v>5</v>
      </c>
      <c r="D67" s="53"/>
      <c r="E67" s="53">
        <v>600</v>
      </c>
      <c r="F67" s="53"/>
      <c r="G67" s="52"/>
    </row>
    <row r="68" spans="1:7" x14ac:dyDescent="0.2">
      <c r="B68" s="59" t="s">
        <v>144</v>
      </c>
      <c r="C68" s="52" t="s">
        <v>226</v>
      </c>
      <c r="D68" s="53">
        <v>600</v>
      </c>
      <c r="E68" s="53"/>
      <c r="F68" s="53"/>
      <c r="G68" s="52"/>
    </row>
    <row r="69" spans="1:7" x14ac:dyDescent="0.2">
      <c r="B69" s="61" t="s">
        <v>62</v>
      </c>
      <c r="C69" s="54" t="s">
        <v>37</v>
      </c>
      <c r="D69" s="55" t="s">
        <v>123</v>
      </c>
      <c r="E69" s="55"/>
      <c r="G69" s="52"/>
    </row>
    <row r="70" spans="1:7" x14ac:dyDescent="0.2">
      <c r="B70" s="61"/>
      <c r="C70" s="54"/>
      <c r="D70" s="55"/>
      <c r="E70" s="55"/>
      <c r="F70" s="55"/>
      <c r="G70" s="52"/>
    </row>
    <row r="71" spans="1:7" x14ac:dyDescent="0.2">
      <c r="B71" s="59" t="s">
        <v>145</v>
      </c>
      <c r="C71" s="52" t="s">
        <v>4</v>
      </c>
      <c r="D71" s="53"/>
      <c r="E71" s="53">
        <v>3520</v>
      </c>
      <c r="F71" s="53"/>
      <c r="G71" s="52"/>
    </row>
    <row r="72" spans="1:7" x14ac:dyDescent="0.2">
      <c r="B72" s="59" t="s">
        <v>146</v>
      </c>
      <c r="C72" s="52" t="s">
        <v>6</v>
      </c>
      <c r="D72" s="53">
        <v>4400</v>
      </c>
      <c r="E72" s="53"/>
      <c r="F72" s="53"/>
      <c r="G72" s="52"/>
    </row>
    <row r="73" spans="1:7" x14ac:dyDescent="0.2">
      <c r="B73" s="59" t="s">
        <v>147</v>
      </c>
      <c r="C73" s="52" t="s">
        <v>226</v>
      </c>
      <c r="D73" s="53"/>
      <c r="E73" s="53">
        <v>880</v>
      </c>
      <c r="F73" s="53"/>
      <c r="G73" s="52"/>
    </row>
    <row r="74" spans="1:7" x14ac:dyDescent="0.2">
      <c r="B74" s="130" t="s">
        <v>63</v>
      </c>
      <c r="C74" s="131" t="s">
        <v>37</v>
      </c>
      <c r="D74" s="132" t="s">
        <v>228</v>
      </c>
      <c r="E74" s="132"/>
      <c r="F74" s="133"/>
      <c r="G74" s="52"/>
    </row>
    <row r="75" spans="1:7" x14ac:dyDescent="0.2">
      <c r="B75" s="61"/>
      <c r="C75" s="54"/>
      <c r="D75" s="55"/>
      <c r="E75" s="55"/>
      <c r="F75" s="55"/>
      <c r="G75" s="52"/>
    </row>
    <row r="76" spans="1:7" x14ac:dyDescent="0.2">
      <c r="B76" s="59" t="s">
        <v>148</v>
      </c>
      <c r="C76" s="52" t="s">
        <v>3</v>
      </c>
      <c r="D76" s="53">
        <v>92</v>
      </c>
      <c r="E76" s="53"/>
      <c r="F76" s="53"/>
      <c r="G76" s="52"/>
    </row>
    <row r="77" spans="1:7" x14ac:dyDescent="0.2">
      <c r="B77" s="59" t="s">
        <v>149</v>
      </c>
      <c r="C77" s="52" t="s">
        <v>4</v>
      </c>
      <c r="D77" s="53">
        <v>968</v>
      </c>
      <c r="E77" s="53"/>
      <c r="F77" s="53"/>
      <c r="G77" s="52"/>
    </row>
    <row r="78" spans="1:7" x14ac:dyDescent="0.2">
      <c r="B78" s="59" t="s">
        <v>150</v>
      </c>
      <c r="C78" s="52" t="s">
        <v>5</v>
      </c>
      <c r="D78" s="53">
        <v>150</v>
      </c>
      <c r="E78" s="53"/>
      <c r="F78" s="53"/>
      <c r="G78" s="52"/>
    </row>
    <row r="79" spans="1:7" x14ac:dyDescent="0.2">
      <c r="B79" s="59" t="s">
        <v>151</v>
      </c>
      <c r="C79" s="52" t="s">
        <v>6</v>
      </c>
      <c r="D79" s="53"/>
      <c r="E79" s="53">
        <v>1210</v>
      </c>
      <c r="F79" s="53"/>
      <c r="G79" s="52"/>
    </row>
    <row r="80" spans="1:7" x14ac:dyDescent="0.2">
      <c r="B80" s="61" t="s">
        <v>64</v>
      </c>
      <c r="C80" s="54" t="s">
        <v>37</v>
      </c>
      <c r="D80" s="55" t="s">
        <v>105</v>
      </c>
      <c r="E80" s="55"/>
      <c r="G80" s="52"/>
    </row>
    <row r="81" spans="2:7" x14ac:dyDescent="0.2">
      <c r="B81" s="61"/>
      <c r="C81" s="54"/>
      <c r="D81" s="55"/>
      <c r="E81" s="55"/>
      <c r="F81" s="55"/>
      <c r="G81" s="52"/>
    </row>
    <row r="82" spans="2:7" x14ac:dyDescent="0.2">
      <c r="B82" s="59" t="s">
        <v>152</v>
      </c>
      <c r="C82" s="52" t="s">
        <v>3</v>
      </c>
      <c r="D82" s="53">
        <v>92</v>
      </c>
      <c r="E82" s="53"/>
      <c r="F82" s="53"/>
      <c r="G82" s="52"/>
    </row>
    <row r="83" spans="2:7" x14ac:dyDescent="0.2">
      <c r="B83" s="59" t="s">
        <v>153</v>
      </c>
      <c r="C83" s="52" t="s">
        <v>4</v>
      </c>
      <c r="D83" s="53">
        <v>968</v>
      </c>
      <c r="E83" s="53"/>
      <c r="F83" s="53"/>
      <c r="G83" s="52"/>
    </row>
    <row r="84" spans="2:7" x14ac:dyDescent="0.2">
      <c r="B84" s="59" t="s">
        <v>154</v>
      </c>
      <c r="C84" s="52" t="s">
        <v>5</v>
      </c>
      <c r="D84" s="53">
        <v>150</v>
      </c>
      <c r="E84" s="53"/>
      <c r="F84" s="53"/>
      <c r="G84" s="52"/>
    </row>
    <row r="85" spans="2:7" x14ac:dyDescent="0.2">
      <c r="B85" s="59" t="s">
        <v>155</v>
      </c>
      <c r="C85" s="52" t="s">
        <v>6</v>
      </c>
      <c r="D85" s="53"/>
      <c r="E85" s="53">
        <v>1210</v>
      </c>
      <c r="F85" s="53"/>
      <c r="G85" s="52"/>
    </row>
    <row r="86" spans="2:7" x14ac:dyDescent="0.2">
      <c r="B86" s="61" t="s">
        <v>65</v>
      </c>
      <c r="C86" s="54" t="s">
        <v>37</v>
      </c>
      <c r="D86" s="55" t="s">
        <v>110</v>
      </c>
      <c r="E86" s="55"/>
      <c r="G86" s="52"/>
    </row>
    <row r="87" spans="2:7" x14ac:dyDescent="0.2">
      <c r="B87" s="61"/>
      <c r="C87" s="54"/>
      <c r="D87" s="55"/>
      <c r="E87" s="55"/>
      <c r="F87" s="55"/>
      <c r="G87" s="52"/>
    </row>
    <row r="88" spans="2:7" x14ac:dyDescent="0.2">
      <c r="B88" s="59" t="s">
        <v>156</v>
      </c>
      <c r="C88" s="52" t="s">
        <v>3</v>
      </c>
      <c r="D88" s="53">
        <v>92</v>
      </c>
      <c r="E88" s="53"/>
      <c r="F88" s="53"/>
      <c r="G88" s="52"/>
    </row>
    <row r="89" spans="2:7" x14ac:dyDescent="0.2">
      <c r="B89" s="59" t="s">
        <v>157</v>
      </c>
      <c r="C89" s="52" t="s">
        <v>4</v>
      </c>
      <c r="D89" s="53">
        <v>968</v>
      </c>
      <c r="E89" s="53"/>
      <c r="F89" s="53"/>
      <c r="G89" s="52"/>
    </row>
    <row r="90" spans="2:7" x14ac:dyDescent="0.2">
      <c r="B90" s="59" t="s">
        <v>158</v>
      </c>
      <c r="C90" s="52" t="s">
        <v>5</v>
      </c>
      <c r="D90" s="53">
        <v>150</v>
      </c>
      <c r="E90" s="53"/>
      <c r="F90" s="53"/>
      <c r="G90" s="52"/>
    </row>
    <row r="91" spans="2:7" x14ac:dyDescent="0.2">
      <c r="B91" s="59" t="s">
        <v>159</v>
      </c>
      <c r="C91" s="52" t="s">
        <v>6</v>
      </c>
      <c r="D91" s="53"/>
      <c r="E91" s="53">
        <v>1210</v>
      </c>
      <c r="F91" s="53"/>
      <c r="G91" s="52"/>
    </row>
    <row r="92" spans="2:7" x14ac:dyDescent="0.2">
      <c r="B92" s="61" t="s">
        <v>66</v>
      </c>
      <c r="C92" s="54" t="s">
        <v>37</v>
      </c>
      <c r="D92" s="55" t="s">
        <v>115</v>
      </c>
      <c r="E92" s="55"/>
      <c r="G92" s="52"/>
    </row>
    <row r="93" spans="2:7" x14ac:dyDescent="0.2">
      <c r="B93" s="61"/>
      <c r="C93" s="54"/>
      <c r="D93" s="55"/>
      <c r="E93" s="55"/>
      <c r="F93" s="55"/>
      <c r="G93" s="52"/>
    </row>
    <row r="94" spans="2:7" x14ac:dyDescent="0.2">
      <c r="B94" s="59" t="s">
        <v>160</v>
      </c>
      <c r="C94" s="52" t="s">
        <v>3</v>
      </c>
      <c r="D94" s="53">
        <v>92</v>
      </c>
      <c r="E94" s="53"/>
      <c r="F94" s="53"/>
      <c r="G94" s="52"/>
    </row>
    <row r="95" spans="2:7" x14ac:dyDescent="0.2">
      <c r="B95" s="59" t="s">
        <v>161</v>
      </c>
      <c r="C95" s="52" t="s">
        <v>4</v>
      </c>
      <c r="D95" s="53">
        <v>968</v>
      </c>
      <c r="E95" s="53"/>
      <c r="F95" s="53"/>
      <c r="G95" s="52"/>
    </row>
    <row r="96" spans="2:7" x14ac:dyDescent="0.2">
      <c r="B96" s="59" t="s">
        <v>162</v>
      </c>
      <c r="C96" s="52" t="s">
        <v>5</v>
      </c>
      <c r="D96" s="53">
        <v>150</v>
      </c>
      <c r="E96" s="53"/>
      <c r="F96" s="53"/>
      <c r="G96" s="52"/>
    </row>
    <row r="97" spans="2:7" x14ac:dyDescent="0.2">
      <c r="B97" s="59" t="s">
        <v>163</v>
      </c>
      <c r="C97" s="52" t="s">
        <v>6</v>
      </c>
      <c r="D97" s="53"/>
      <c r="E97" s="53">
        <v>1210</v>
      </c>
      <c r="F97" s="53"/>
      <c r="G97" s="52"/>
    </row>
    <row r="98" spans="2:7" x14ac:dyDescent="0.2">
      <c r="B98" s="61" t="s">
        <v>67</v>
      </c>
      <c r="C98" s="54" t="s">
        <v>37</v>
      </c>
      <c r="D98" s="55" t="s">
        <v>120</v>
      </c>
      <c r="E98" s="55"/>
      <c r="G98" s="52"/>
    </row>
    <row r="99" spans="2:7" x14ac:dyDescent="0.2">
      <c r="B99" s="61"/>
      <c r="C99" s="54"/>
      <c r="D99" s="55"/>
      <c r="E99" s="55"/>
      <c r="F99" s="55"/>
      <c r="G99" s="52"/>
    </row>
    <row r="100" spans="2:7" x14ac:dyDescent="0.2">
      <c r="B100" s="59" t="s">
        <v>164</v>
      </c>
      <c r="C100" s="52" t="s">
        <v>5</v>
      </c>
      <c r="D100" s="53"/>
      <c r="E100" s="53">
        <v>600</v>
      </c>
      <c r="F100" s="53"/>
      <c r="G100" s="52"/>
    </row>
    <row r="101" spans="2:7" x14ac:dyDescent="0.2">
      <c r="B101" s="59" t="s">
        <v>165</v>
      </c>
      <c r="C101" s="52" t="s">
        <v>226</v>
      </c>
      <c r="D101" s="53">
        <v>600</v>
      </c>
      <c r="E101" s="53"/>
      <c r="F101" s="53"/>
      <c r="G101" s="52"/>
    </row>
    <row r="102" spans="2:7" x14ac:dyDescent="0.2">
      <c r="B102" s="61" t="s">
        <v>68</v>
      </c>
      <c r="C102" s="54" t="s">
        <v>37</v>
      </c>
      <c r="D102" s="55" t="s">
        <v>123</v>
      </c>
      <c r="E102" s="55"/>
      <c r="G102" s="52"/>
    </row>
    <row r="103" spans="2:7" x14ac:dyDescent="0.2">
      <c r="B103" s="61"/>
      <c r="C103" s="54"/>
      <c r="D103" s="55"/>
      <c r="E103" s="55"/>
      <c r="F103" s="55"/>
      <c r="G103" s="52"/>
    </row>
    <row r="104" spans="2:7" x14ac:dyDescent="0.2">
      <c r="B104" s="59" t="s">
        <v>166</v>
      </c>
      <c r="C104" s="52" t="s">
        <v>4</v>
      </c>
      <c r="D104" s="53"/>
      <c r="E104" s="53">
        <v>3872</v>
      </c>
      <c r="F104" s="53"/>
      <c r="G104" s="52"/>
    </row>
    <row r="105" spans="2:7" x14ac:dyDescent="0.2">
      <c r="B105" s="59" t="s">
        <v>167</v>
      </c>
      <c r="C105" s="52" t="s">
        <v>6</v>
      </c>
      <c r="D105" s="53">
        <v>4840</v>
      </c>
      <c r="E105" s="53"/>
      <c r="F105" s="53"/>
      <c r="G105" s="52"/>
    </row>
    <row r="106" spans="2:7" x14ac:dyDescent="0.2">
      <c r="B106" s="59" t="s">
        <v>168</v>
      </c>
      <c r="C106" s="52" t="s">
        <v>226</v>
      </c>
      <c r="D106" s="53"/>
      <c r="E106" s="53">
        <v>968</v>
      </c>
      <c r="F106" s="53"/>
      <c r="G106" s="52"/>
    </row>
    <row r="107" spans="2:7" x14ac:dyDescent="0.2">
      <c r="B107" s="130" t="s">
        <v>69</v>
      </c>
      <c r="C107" s="131" t="s">
        <v>37</v>
      </c>
      <c r="D107" s="132" t="s">
        <v>228</v>
      </c>
      <c r="E107" s="132"/>
      <c r="F107" s="133"/>
      <c r="G107" s="52"/>
    </row>
    <row r="108" spans="2:7" x14ac:dyDescent="0.2">
      <c r="B108" s="61"/>
      <c r="C108" s="54"/>
      <c r="D108" s="55"/>
      <c r="E108" s="55"/>
      <c r="F108" s="55"/>
      <c r="G108" s="52"/>
    </row>
    <row r="109" spans="2:7" x14ac:dyDescent="0.2">
      <c r="B109" s="59" t="s">
        <v>169</v>
      </c>
      <c r="C109" s="52" t="s">
        <v>3</v>
      </c>
      <c r="D109" s="53">
        <v>116.2</v>
      </c>
      <c r="E109" s="53"/>
      <c r="F109" s="53"/>
      <c r="G109" s="52"/>
    </row>
    <row r="110" spans="2:7" x14ac:dyDescent="0.2">
      <c r="B110" s="59" t="s">
        <v>170</v>
      </c>
      <c r="C110" s="52" t="s">
        <v>4</v>
      </c>
      <c r="D110" s="53">
        <v>1064.8</v>
      </c>
      <c r="E110" s="53"/>
      <c r="F110" s="53"/>
      <c r="G110" s="52"/>
    </row>
    <row r="111" spans="2:7" x14ac:dyDescent="0.2">
      <c r="B111" s="59" t="s">
        <v>171</v>
      </c>
      <c r="C111" s="52" t="s">
        <v>5</v>
      </c>
      <c r="D111" s="53">
        <v>150</v>
      </c>
      <c r="E111" s="53"/>
      <c r="F111" s="53"/>
      <c r="G111" s="52"/>
    </row>
    <row r="112" spans="2:7" x14ac:dyDescent="0.2">
      <c r="B112" s="59" t="s">
        <v>172</v>
      </c>
      <c r="C112" s="52" t="s">
        <v>6</v>
      </c>
      <c r="D112" s="53"/>
      <c r="E112" s="53">
        <v>1331</v>
      </c>
      <c r="F112" s="53"/>
      <c r="G112" s="52"/>
    </row>
    <row r="113" spans="2:7" x14ac:dyDescent="0.2">
      <c r="B113" s="61" t="s">
        <v>70</v>
      </c>
      <c r="C113" s="54" t="s">
        <v>37</v>
      </c>
      <c r="D113" s="55" t="s">
        <v>105</v>
      </c>
      <c r="E113" s="55"/>
      <c r="G113" s="52"/>
    </row>
    <row r="114" spans="2:7" x14ac:dyDescent="0.2">
      <c r="B114" s="61"/>
      <c r="C114" s="54"/>
      <c r="D114" s="55"/>
      <c r="E114" s="55"/>
      <c r="F114" s="55"/>
      <c r="G114" s="52"/>
    </row>
    <row r="115" spans="2:7" x14ac:dyDescent="0.2">
      <c r="B115" s="59" t="s">
        <v>173</v>
      </c>
      <c r="C115" s="52" t="s">
        <v>3</v>
      </c>
      <c r="D115" s="53">
        <v>116.2</v>
      </c>
      <c r="E115" s="53"/>
      <c r="F115" s="53"/>
      <c r="G115" s="52"/>
    </row>
    <row r="116" spans="2:7" x14ac:dyDescent="0.2">
      <c r="B116" s="59" t="s">
        <v>174</v>
      </c>
      <c r="C116" s="52" t="s">
        <v>4</v>
      </c>
      <c r="D116" s="53">
        <v>1064.8</v>
      </c>
      <c r="E116" s="53"/>
      <c r="F116" s="53"/>
      <c r="G116" s="52"/>
    </row>
    <row r="117" spans="2:7" x14ac:dyDescent="0.2">
      <c r="B117" s="59" t="s">
        <v>175</v>
      </c>
      <c r="C117" s="52" t="s">
        <v>5</v>
      </c>
      <c r="D117" s="53">
        <v>150</v>
      </c>
      <c r="E117" s="53"/>
      <c r="F117" s="53"/>
      <c r="G117" s="52"/>
    </row>
    <row r="118" spans="2:7" x14ac:dyDescent="0.2">
      <c r="B118" s="59" t="s">
        <v>176</v>
      </c>
      <c r="C118" s="52" t="s">
        <v>6</v>
      </c>
      <c r="D118" s="53"/>
      <c r="E118" s="53">
        <v>1331</v>
      </c>
      <c r="F118" s="53"/>
      <c r="G118" s="52"/>
    </row>
    <row r="119" spans="2:7" x14ac:dyDescent="0.2">
      <c r="B119" s="61" t="s">
        <v>71</v>
      </c>
      <c r="C119" s="54" t="s">
        <v>37</v>
      </c>
      <c r="D119" s="55" t="s">
        <v>110</v>
      </c>
      <c r="E119" s="55"/>
      <c r="G119" s="52"/>
    </row>
    <row r="120" spans="2:7" x14ac:dyDescent="0.2">
      <c r="B120" s="61"/>
      <c r="C120" s="54"/>
      <c r="D120" s="55"/>
      <c r="E120" s="55"/>
      <c r="F120" s="55"/>
      <c r="G120" s="52"/>
    </row>
    <row r="121" spans="2:7" x14ac:dyDescent="0.2">
      <c r="B121" s="59" t="s">
        <v>177</v>
      </c>
      <c r="C121" s="52" t="s">
        <v>3</v>
      </c>
      <c r="D121" s="53">
        <v>116.2</v>
      </c>
      <c r="E121" s="53"/>
      <c r="F121" s="53"/>
      <c r="G121" s="52"/>
    </row>
    <row r="122" spans="2:7" x14ac:dyDescent="0.2">
      <c r="B122" s="59" t="s">
        <v>178</v>
      </c>
      <c r="C122" s="52" t="s">
        <v>4</v>
      </c>
      <c r="D122" s="53">
        <v>1064.8</v>
      </c>
      <c r="E122" s="53"/>
      <c r="F122" s="53"/>
      <c r="G122" s="52"/>
    </row>
    <row r="123" spans="2:7" x14ac:dyDescent="0.2">
      <c r="B123" s="59" t="s">
        <v>179</v>
      </c>
      <c r="C123" s="52" t="s">
        <v>5</v>
      </c>
      <c r="D123" s="53">
        <v>150</v>
      </c>
      <c r="E123" s="53"/>
      <c r="F123" s="53"/>
      <c r="G123" s="52"/>
    </row>
    <row r="124" spans="2:7" x14ac:dyDescent="0.2">
      <c r="B124" s="59" t="s">
        <v>180</v>
      </c>
      <c r="C124" s="52" t="s">
        <v>6</v>
      </c>
      <c r="D124" s="53"/>
      <c r="E124" s="53">
        <v>1331</v>
      </c>
      <c r="F124" s="53"/>
      <c r="G124" s="52"/>
    </row>
    <row r="125" spans="2:7" x14ac:dyDescent="0.2">
      <c r="B125" s="61" t="s">
        <v>72</v>
      </c>
      <c r="C125" s="54" t="s">
        <v>37</v>
      </c>
      <c r="D125" s="55" t="s">
        <v>115</v>
      </c>
      <c r="E125" s="55"/>
      <c r="G125" s="52"/>
    </row>
    <row r="126" spans="2:7" x14ac:dyDescent="0.2">
      <c r="B126" s="61"/>
      <c r="C126" s="54"/>
      <c r="D126" s="55"/>
      <c r="E126" s="55"/>
      <c r="F126" s="55"/>
      <c r="G126" s="52"/>
    </row>
    <row r="127" spans="2:7" x14ac:dyDescent="0.2">
      <c r="B127" s="59" t="s">
        <v>74</v>
      </c>
      <c r="C127" s="52" t="s">
        <v>3</v>
      </c>
      <c r="D127" s="53">
        <v>116.2</v>
      </c>
      <c r="E127" s="53"/>
      <c r="F127" s="53"/>
      <c r="G127" s="52"/>
    </row>
    <row r="128" spans="2:7" x14ac:dyDescent="0.2">
      <c r="B128" s="59" t="s">
        <v>181</v>
      </c>
      <c r="C128" s="52" t="s">
        <v>4</v>
      </c>
      <c r="D128" s="53">
        <v>1064.8</v>
      </c>
      <c r="E128" s="53"/>
      <c r="F128" s="53"/>
      <c r="G128" s="52"/>
    </row>
    <row r="129" spans="2:7" x14ac:dyDescent="0.2">
      <c r="B129" s="59" t="s">
        <v>182</v>
      </c>
      <c r="C129" s="52" t="s">
        <v>5</v>
      </c>
      <c r="D129" s="53">
        <v>150</v>
      </c>
      <c r="E129" s="53"/>
      <c r="F129" s="53"/>
      <c r="G129" s="52"/>
    </row>
    <row r="130" spans="2:7" x14ac:dyDescent="0.2">
      <c r="B130" s="59" t="s">
        <v>183</v>
      </c>
      <c r="C130" s="52" t="s">
        <v>6</v>
      </c>
      <c r="D130" s="53"/>
      <c r="E130" s="53">
        <v>1331</v>
      </c>
      <c r="F130" s="53"/>
      <c r="G130" s="52"/>
    </row>
    <row r="131" spans="2:7" x14ac:dyDescent="0.2">
      <c r="B131" s="61" t="s">
        <v>73</v>
      </c>
      <c r="C131" s="54" t="s">
        <v>37</v>
      </c>
      <c r="D131" s="55" t="s">
        <v>120</v>
      </c>
      <c r="E131" s="55"/>
      <c r="G131" s="52"/>
    </row>
    <row r="132" spans="2:7" x14ac:dyDescent="0.2">
      <c r="B132" s="61"/>
      <c r="C132" s="54"/>
      <c r="D132" s="55"/>
      <c r="E132" s="55"/>
      <c r="F132" s="55"/>
      <c r="G132" s="52"/>
    </row>
    <row r="133" spans="2:7" x14ac:dyDescent="0.2">
      <c r="B133" s="59" t="s">
        <v>184</v>
      </c>
      <c r="C133" s="52" t="s">
        <v>3</v>
      </c>
      <c r="D133" s="53"/>
      <c r="E133" s="53">
        <v>1000</v>
      </c>
      <c r="F133" s="53"/>
      <c r="G133" s="52"/>
    </row>
    <row r="134" spans="2:7" x14ac:dyDescent="0.2">
      <c r="B134" s="59" t="s">
        <v>185</v>
      </c>
      <c r="C134" s="52" t="s">
        <v>5</v>
      </c>
      <c r="D134" s="53">
        <v>1000</v>
      </c>
      <c r="E134" s="53"/>
      <c r="F134" s="53"/>
      <c r="G134" s="52"/>
    </row>
    <row r="135" spans="2:7" x14ac:dyDescent="0.2">
      <c r="B135" s="61" t="s">
        <v>74</v>
      </c>
      <c r="C135" s="54" t="s">
        <v>37</v>
      </c>
      <c r="D135" s="55" t="s">
        <v>186</v>
      </c>
      <c r="E135" s="55"/>
      <c r="G135" s="52"/>
    </row>
    <row r="136" spans="2:7" x14ac:dyDescent="0.2">
      <c r="B136" s="61"/>
      <c r="C136" s="54"/>
      <c r="D136" s="55"/>
      <c r="E136" s="55"/>
      <c r="F136" s="55"/>
      <c r="G136" s="52"/>
    </row>
    <row r="137" spans="2:7" x14ac:dyDescent="0.2">
      <c r="B137" s="59" t="s">
        <v>187</v>
      </c>
      <c r="C137" s="52" t="s">
        <v>5</v>
      </c>
      <c r="D137" s="53"/>
      <c r="E137" s="53">
        <v>1600</v>
      </c>
      <c r="F137" s="53"/>
      <c r="G137" s="52"/>
    </row>
    <row r="138" spans="2:7" x14ac:dyDescent="0.2">
      <c r="B138" s="59" t="s">
        <v>188</v>
      </c>
      <c r="C138" s="52" t="s">
        <v>226</v>
      </c>
      <c r="D138" s="53">
        <v>1600</v>
      </c>
      <c r="E138" s="53"/>
      <c r="F138" s="53"/>
      <c r="G138" s="52"/>
    </row>
    <row r="139" spans="2:7" x14ac:dyDescent="0.2">
      <c r="B139" s="61" t="s">
        <v>75</v>
      </c>
      <c r="C139" s="54" t="s">
        <v>37</v>
      </c>
      <c r="D139" s="55" t="s">
        <v>123</v>
      </c>
      <c r="E139" s="55"/>
      <c r="G139" s="52"/>
    </row>
    <row r="140" spans="2:7" x14ac:dyDescent="0.2">
      <c r="B140" s="61"/>
      <c r="C140" s="54"/>
      <c r="D140" s="55"/>
      <c r="E140" s="55"/>
      <c r="F140" s="55"/>
      <c r="G140" s="52"/>
    </row>
    <row r="141" spans="2:7" x14ac:dyDescent="0.2">
      <c r="B141" s="59" t="s">
        <v>189</v>
      </c>
      <c r="C141" s="52" t="s">
        <v>4</v>
      </c>
      <c r="D141" s="53"/>
      <c r="E141" s="53">
        <v>4259.2</v>
      </c>
      <c r="F141" s="53"/>
      <c r="G141" s="52"/>
    </row>
    <row r="142" spans="2:7" x14ac:dyDescent="0.2">
      <c r="B142" s="59" t="s">
        <v>190</v>
      </c>
      <c r="C142" s="52" t="s">
        <v>6</v>
      </c>
      <c r="D142" s="53">
        <v>5324</v>
      </c>
      <c r="E142" s="53"/>
      <c r="F142" s="53"/>
      <c r="G142" s="52"/>
    </row>
    <row r="143" spans="2:7" x14ac:dyDescent="0.2">
      <c r="B143" s="59" t="s">
        <v>191</v>
      </c>
      <c r="C143" s="52" t="s">
        <v>226</v>
      </c>
      <c r="D143" s="53"/>
      <c r="E143" s="53">
        <v>1064.8</v>
      </c>
      <c r="F143" s="53"/>
      <c r="G143" s="52"/>
    </row>
    <row r="144" spans="2:7" x14ac:dyDescent="0.2">
      <c r="B144" s="130" t="s">
        <v>76</v>
      </c>
      <c r="C144" s="131" t="s">
        <v>37</v>
      </c>
      <c r="D144" s="132" t="s">
        <v>228</v>
      </c>
      <c r="E144" s="132"/>
      <c r="F144" s="133"/>
      <c r="G144" s="5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F102"/>
  <sheetViews>
    <sheetView showGridLines="0" workbookViewId="0">
      <selection activeCell="E20" sqref="E20:E21"/>
    </sheetView>
  </sheetViews>
  <sheetFormatPr baseColWidth="10" defaultColWidth="8.83203125" defaultRowHeight="16" x14ac:dyDescent="0.2"/>
  <cols>
    <col min="2" max="2" width="19.83203125" customWidth="1"/>
    <col min="3" max="3" width="13.33203125" customWidth="1"/>
    <col min="4" max="4" width="12" customWidth="1"/>
    <col min="5" max="5" width="14.5" customWidth="1"/>
    <col min="6" max="6" width="17" style="3" customWidth="1"/>
  </cols>
  <sheetData>
    <row r="3" spans="2:6" ht="47" x14ac:dyDescent="0.55000000000000004">
      <c r="B3" s="127" t="s">
        <v>221</v>
      </c>
    </row>
    <row r="4" spans="2:6" ht="34" x14ac:dyDescent="0.4">
      <c r="B4" s="129" t="s">
        <v>220</v>
      </c>
    </row>
    <row r="5" spans="2:6" ht="17" customHeight="1" x14ac:dyDescent="0.45">
      <c r="B5" s="128"/>
    </row>
    <row r="6" spans="2:6" ht="53" customHeight="1" x14ac:dyDescent="0.3">
      <c r="B6" s="138" t="s">
        <v>96</v>
      </c>
      <c r="C6" s="138" t="s">
        <v>95</v>
      </c>
      <c r="D6" s="138" t="s">
        <v>97</v>
      </c>
      <c r="E6" s="138" t="s">
        <v>98</v>
      </c>
      <c r="F6" s="138" t="s">
        <v>192</v>
      </c>
    </row>
    <row r="7" spans="2:6" ht="30" customHeight="1" x14ac:dyDescent="0.3">
      <c r="B7" s="139" t="s">
        <v>193</v>
      </c>
      <c r="C7" s="45"/>
      <c r="D7" s="46"/>
      <c r="E7" s="46"/>
      <c r="F7" s="49"/>
    </row>
    <row r="8" spans="2:6" ht="17" customHeight="1" x14ac:dyDescent="0.3">
      <c r="B8" s="140"/>
      <c r="C8" s="43" t="s">
        <v>101</v>
      </c>
      <c r="D8" s="44">
        <v>50</v>
      </c>
      <c r="E8" s="44"/>
      <c r="F8" s="50">
        <v>50</v>
      </c>
    </row>
    <row r="9" spans="2:6" ht="17" customHeight="1" x14ac:dyDescent="0.3">
      <c r="B9" s="140"/>
      <c r="C9" s="43" t="s">
        <v>106</v>
      </c>
      <c r="D9" s="44">
        <v>50</v>
      </c>
      <c r="E9" s="44"/>
      <c r="F9" s="50">
        <v>100</v>
      </c>
    </row>
    <row r="10" spans="2:6" ht="17" customHeight="1" x14ac:dyDescent="0.3">
      <c r="B10" s="140"/>
      <c r="C10" s="43" t="s">
        <v>111</v>
      </c>
      <c r="D10" s="44">
        <v>50</v>
      </c>
      <c r="E10" s="44"/>
      <c r="F10" s="50">
        <v>150</v>
      </c>
    </row>
    <row r="11" spans="2:6" ht="17" customHeight="1" x14ac:dyDescent="0.3">
      <c r="B11" s="140"/>
      <c r="C11" s="43" t="s">
        <v>116</v>
      </c>
      <c r="D11" s="44">
        <v>50</v>
      </c>
      <c r="E11" s="44"/>
      <c r="F11" s="50">
        <v>200</v>
      </c>
    </row>
    <row r="12" spans="2:6" ht="17" customHeight="1" x14ac:dyDescent="0.3">
      <c r="B12" s="140"/>
      <c r="C12" s="43" t="s">
        <v>127</v>
      </c>
      <c r="D12" s="44">
        <v>70</v>
      </c>
      <c r="E12" s="44"/>
      <c r="F12" s="50">
        <v>270</v>
      </c>
    </row>
    <row r="13" spans="2:6" ht="17" customHeight="1" x14ac:dyDescent="0.3">
      <c r="B13" s="140"/>
      <c r="C13" s="43" t="s">
        <v>131</v>
      </c>
      <c r="D13" s="44">
        <v>70</v>
      </c>
      <c r="E13" s="44"/>
      <c r="F13" s="50">
        <v>340</v>
      </c>
    </row>
    <row r="14" spans="2:6" ht="17" customHeight="1" x14ac:dyDescent="0.3">
      <c r="B14" s="140"/>
      <c r="C14" s="43" t="s">
        <v>135</v>
      </c>
      <c r="D14" s="44">
        <v>70</v>
      </c>
      <c r="E14" s="44"/>
      <c r="F14" s="50">
        <v>410</v>
      </c>
    </row>
    <row r="15" spans="2:6" ht="17" customHeight="1" x14ac:dyDescent="0.3">
      <c r="B15" s="140"/>
      <c r="C15" s="43" t="s">
        <v>139</v>
      </c>
      <c r="D15" s="44">
        <v>70</v>
      </c>
      <c r="E15" s="44"/>
      <c r="F15" s="50">
        <v>480</v>
      </c>
    </row>
    <row r="16" spans="2:6" ht="17" customHeight="1" x14ac:dyDescent="0.3">
      <c r="B16" s="140"/>
      <c r="C16" s="43" t="s">
        <v>148</v>
      </c>
      <c r="D16" s="44">
        <v>92</v>
      </c>
      <c r="E16" s="44"/>
      <c r="F16" s="50">
        <v>572</v>
      </c>
    </row>
    <row r="17" spans="2:6" ht="17" customHeight="1" x14ac:dyDescent="0.3">
      <c r="B17" s="140"/>
      <c r="C17" s="43" t="s">
        <v>152</v>
      </c>
      <c r="D17" s="44">
        <v>92</v>
      </c>
      <c r="E17" s="44"/>
      <c r="F17" s="50">
        <v>664</v>
      </c>
    </row>
    <row r="18" spans="2:6" ht="17" customHeight="1" x14ac:dyDescent="0.3">
      <c r="B18" s="140"/>
      <c r="C18" s="43" t="s">
        <v>156</v>
      </c>
      <c r="D18" s="44">
        <v>92</v>
      </c>
      <c r="E18" s="44"/>
      <c r="F18" s="50">
        <v>756</v>
      </c>
    </row>
    <row r="19" spans="2:6" ht="17" customHeight="1" x14ac:dyDescent="0.3">
      <c r="B19" s="140"/>
      <c r="C19" s="43" t="s">
        <v>160</v>
      </c>
      <c r="D19" s="44">
        <v>92</v>
      </c>
      <c r="E19" s="44"/>
      <c r="F19" s="50">
        <v>848</v>
      </c>
    </row>
    <row r="20" spans="2:6" ht="17" customHeight="1" x14ac:dyDescent="0.3">
      <c r="B20" s="140"/>
      <c r="C20" s="43" t="s">
        <v>169</v>
      </c>
      <c r="D20" s="44">
        <v>116.2</v>
      </c>
      <c r="E20" s="44"/>
      <c r="F20" s="50">
        <v>964.2</v>
      </c>
    </row>
    <row r="21" spans="2:6" ht="17" customHeight="1" x14ac:dyDescent="0.3">
      <c r="B21" s="140"/>
      <c r="C21" s="43" t="s">
        <v>173</v>
      </c>
      <c r="D21" s="44">
        <v>116.2</v>
      </c>
      <c r="E21" s="44"/>
      <c r="F21" s="50">
        <v>1080.4000000000001</v>
      </c>
    </row>
    <row r="22" spans="2:6" ht="17" customHeight="1" x14ac:dyDescent="0.3">
      <c r="B22" s="140"/>
      <c r="C22" s="43" t="s">
        <v>177</v>
      </c>
      <c r="D22" s="44">
        <v>116.2</v>
      </c>
      <c r="E22" s="44"/>
      <c r="F22" s="50">
        <v>1196.5999999999999</v>
      </c>
    </row>
    <row r="23" spans="2:6" ht="17" customHeight="1" x14ac:dyDescent="0.3">
      <c r="B23" s="140"/>
      <c r="C23" s="43" t="s">
        <v>74</v>
      </c>
      <c r="D23" s="44">
        <v>116.2</v>
      </c>
      <c r="E23" s="44"/>
      <c r="F23" s="50">
        <v>1312.8</v>
      </c>
    </row>
    <row r="24" spans="2:6" ht="17" customHeight="1" x14ac:dyDescent="0.3">
      <c r="B24" s="140"/>
      <c r="C24" s="43" t="s">
        <v>184</v>
      </c>
      <c r="D24" s="44"/>
      <c r="E24" s="44">
        <v>1000</v>
      </c>
      <c r="F24" s="50">
        <v>312.8</v>
      </c>
    </row>
    <row r="25" spans="2:6" ht="24" x14ac:dyDescent="0.3">
      <c r="B25" s="140"/>
      <c r="C25" s="43"/>
      <c r="D25" s="44"/>
      <c r="E25" s="44"/>
      <c r="F25" s="50"/>
    </row>
    <row r="26" spans="2:6" ht="27" customHeight="1" x14ac:dyDescent="0.3">
      <c r="B26" s="141" t="s">
        <v>194</v>
      </c>
      <c r="C26" s="45"/>
      <c r="D26" s="46"/>
      <c r="E26" s="46"/>
      <c r="F26" s="49"/>
    </row>
    <row r="27" spans="2:6" ht="17" customHeight="1" x14ac:dyDescent="0.3">
      <c r="B27" s="140"/>
      <c r="C27" s="43" t="s">
        <v>102</v>
      </c>
      <c r="D27" s="44">
        <v>800</v>
      </c>
      <c r="E27" s="44"/>
      <c r="F27" s="50">
        <v>800</v>
      </c>
    </row>
    <row r="28" spans="2:6" ht="17" customHeight="1" x14ac:dyDescent="0.3">
      <c r="B28" s="140"/>
      <c r="C28" s="43" t="s">
        <v>107</v>
      </c>
      <c r="D28" s="44">
        <v>800</v>
      </c>
      <c r="E28" s="44"/>
      <c r="F28" s="50">
        <v>1600</v>
      </c>
    </row>
    <row r="29" spans="2:6" ht="17" customHeight="1" x14ac:dyDescent="0.3">
      <c r="B29" s="140"/>
      <c r="C29" s="43" t="s">
        <v>112</v>
      </c>
      <c r="D29" s="44">
        <v>800</v>
      </c>
      <c r="E29" s="44"/>
      <c r="F29" s="50">
        <v>2400</v>
      </c>
    </row>
    <row r="30" spans="2:6" ht="17" customHeight="1" x14ac:dyDescent="0.3">
      <c r="B30" s="140"/>
      <c r="C30" s="43" t="s">
        <v>117</v>
      </c>
      <c r="D30" s="44">
        <v>800</v>
      </c>
      <c r="E30" s="44"/>
      <c r="F30" s="50">
        <v>3200</v>
      </c>
    </row>
    <row r="31" spans="2:6" ht="17" customHeight="1" x14ac:dyDescent="0.3">
      <c r="B31" s="140"/>
      <c r="C31" s="134" t="s">
        <v>124</v>
      </c>
      <c r="D31" s="135"/>
      <c r="E31" s="135">
        <v>3200</v>
      </c>
      <c r="F31" s="136">
        <v>0</v>
      </c>
    </row>
    <row r="32" spans="2:6" ht="17" customHeight="1" x14ac:dyDescent="0.3">
      <c r="B32" s="140"/>
      <c r="C32" s="43" t="s">
        <v>128</v>
      </c>
      <c r="D32" s="44">
        <v>880</v>
      </c>
      <c r="E32" s="44"/>
      <c r="F32" s="50">
        <v>880</v>
      </c>
    </row>
    <row r="33" spans="2:6" ht="17" customHeight="1" x14ac:dyDescent="0.3">
      <c r="B33" s="140"/>
      <c r="C33" s="43" t="s">
        <v>132</v>
      </c>
      <c r="D33" s="44">
        <v>880</v>
      </c>
      <c r="E33" s="44"/>
      <c r="F33" s="50">
        <v>1760</v>
      </c>
    </row>
    <row r="34" spans="2:6" ht="17" customHeight="1" x14ac:dyDescent="0.3">
      <c r="B34" s="140"/>
      <c r="C34" s="43" t="s">
        <v>136</v>
      </c>
      <c r="D34" s="44">
        <v>880</v>
      </c>
      <c r="E34" s="44"/>
      <c r="F34" s="50">
        <v>2640</v>
      </c>
    </row>
    <row r="35" spans="2:6" ht="17" customHeight="1" x14ac:dyDescent="0.3">
      <c r="B35" s="140"/>
      <c r="C35" s="43" t="s">
        <v>140</v>
      </c>
      <c r="D35" s="44">
        <v>880</v>
      </c>
      <c r="E35" s="44"/>
      <c r="F35" s="50">
        <v>3520</v>
      </c>
    </row>
    <row r="36" spans="2:6" ht="17" customHeight="1" x14ac:dyDescent="0.3">
      <c r="B36" s="140"/>
      <c r="C36" s="134" t="s">
        <v>145</v>
      </c>
      <c r="D36" s="135"/>
      <c r="E36" s="135">
        <v>3520</v>
      </c>
      <c r="F36" s="136">
        <v>0</v>
      </c>
    </row>
    <row r="37" spans="2:6" ht="17" customHeight="1" x14ac:dyDescent="0.3">
      <c r="B37" s="140"/>
      <c r="C37" s="43" t="s">
        <v>149</v>
      </c>
      <c r="D37" s="44">
        <v>968</v>
      </c>
      <c r="E37" s="44"/>
      <c r="F37" s="50">
        <v>968</v>
      </c>
    </row>
    <row r="38" spans="2:6" ht="17" customHeight="1" x14ac:dyDescent="0.3">
      <c r="B38" s="140"/>
      <c r="C38" s="43" t="s">
        <v>153</v>
      </c>
      <c r="D38" s="44">
        <v>968</v>
      </c>
      <c r="E38" s="44"/>
      <c r="F38" s="50">
        <v>1936</v>
      </c>
    </row>
    <row r="39" spans="2:6" ht="17" customHeight="1" x14ac:dyDescent="0.3">
      <c r="B39" s="140"/>
      <c r="C39" s="43" t="s">
        <v>157</v>
      </c>
      <c r="D39" s="44">
        <v>968</v>
      </c>
      <c r="E39" s="44"/>
      <c r="F39" s="50">
        <v>2904</v>
      </c>
    </row>
    <row r="40" spans="2:6" ht="17" customHeight="1" x14ac:dyDescent="0.3">
      <c r="B40" s="140"/>
      <c r="C40" s="43" t="s">
        <v>161</v>
      </c>
      <c r="D40" s="44">
        <v>968</v>
      </c>
      <c r="E40" s="44"/>
      <c r="F40" s="50">
        <v>3872</v>
      </c>
    </row>
    <row r="41" spans="2:6" ht="17" customHeight="1" x14ac:dyDescent="0.3">
      <c r="B41" s="140"/>
      <c r="C41" s="134" t="s">
        <v>166</v>
      </c>
      <c r="D41" s="135"/>
      <c r="E41" s="135">
        <v>3872</v>
      </c>
      <c r="F41" s="136">
        <v>0</v>
      </c>
    </row>
    <row r="42" spans="2:6" ht="17" customHeight="1" x14ac:dyDescent="0.3">
      <c r="B42" s="140"/>
      <c r="C42" s="43" t="s">
        <v>170</v>
      </c>
      <c r="D42" s="44">
        <v>1064.8</v>
      </c>
      <c r="E42" s="44"/>
      <c r="F42" s="50">
        <v>1064.8</v>
      </c>
    </row>
    <row r="43" spans="2:6" ht="17" customHeight="1" x14ac:dyDescent="0.3">
      <c r="B43" s="140"/>
      <c r="C43" s="43" t="s">
        <v>174</v>
      </c>
      <c r="D43" s="44">
        <v>1064.8</v>
      </c>
      <c r="E43" s="44"/>
      <c r="F43" s="50">
        <v>2129.6</v>
      </c>
    </row>
    <row r="44" spans="2:6" ht="17" customHeight="1" x14ac:dyDescent="0.3">
      <c r="B44" s="140"/>
      <c r="C44" s="43" t="s">
        <v>178</v>
      </c>
      <c r="D44" s="44">
        <v>1064.8</v>
      </c>
      <c r="E44" s="44"/>
      <c r="F44" s="50">
        <v>3194.4</v>
      </c>
    </row>
    <row r="45" spans="2:6" ht="17" customHeight="1" x14ac:dyDescent="0.3">
      <c r="B45" s="140"/>
      <c r="C45" s="43" t="s">
        <v>181</v>
      </c>
      <c r="D45" s="44">
        <v>1064.8</v>
      </c>
      <c r="E45" s="44"/>
      <c r="F45" s="50">
        <v>4259.2</v>
      </c>
    </row>
    <row r="46" spans="2:6" ht="17" customHeight="1" x14ac:dyDescent="0.3">
      <c r="B46" s="140"/>
      <c r="C46" s="134" t="s">
        <v>189</v>
      </c>
      <c r="D46" s="135"/>
      <c r="E46" s="135">
        <v>4259.2</v>
      </c>
      <c r="F46" s="136">
        <v>0</v>
      </c>
    </row>
    <row r="47" spans="2:6" ht="24" x14ac:dyDescent="0.3">
      <c r="B47" s="140"/>
      <c r="C47" s="43"/>
      <c r="D47" s="44"/>
      <c r="E47" s="44"/>
      <c r="F47" s="50"/>
    </row>
    <row r="48" spans="2:6" ht="29" customHeight="1" x14ac:dyDescent="0.3">
      <c r="B48" s="141" t="s">
        <v>195</v>
      </c>
      <c r="C48" s="45"/>
      <c r="D48" s="46"/>
      <c r="E48" s="46"/>
      <c r="F48" s="49"/>
    </row>
    <row r="49" spans="2:6" ht="17" customHeight="1" x14ac:dyDescent="0.3">
      <c r="B49" s="140"/>
      <c r="C49" s="43" t="s">
        <v>103</v>
      </c>
      <c r="D49" s="44">
        <v>150</v>
      </c>
      <c r="E49" s="44"/>
      <c r="F49" s="50">
        <v>150</v>
      </c>
    </row>
    <row r="50" spans="2:6" ht="17" customHeight="1" x14ac:dyDescent="0.3">
      <c r="B50" s="140"/>
      <c r="C50" s="43" t="s">
        <v>108</v>
      </c>
      <c r="D50" s="44">
        <v>150</v>
      </c>
      <c r="E50" s="44"/>
      <c r="F50" s="50">
        <v>300</v>
      </c>
    </row>
    <row r="51" spans="2:6" ht="17" customHeight="1" x14ac:dyDescent="0.3">
      <c r="B51" s="140"/>
      <c r="C51" s="43" t="s">
        <v>113</v>
      </c>
      <c r="D51" s="44">
        <v>150</v>
      </c>
      <c r="E51" s="44"/>
      <c r="F51" s="50">
        <v>450</v>
      </c>
    </row>
    <row r="52" spans="2:6" ht="17" customHeight="1" x14ac:dyDescent="0.3">
      <c r="B52" s="140"/>
      <c r="C52" s="43" t="s">
        <v>118</v>
      </c>
      <c r="D52" s="44">
        <v>150</v>
      </c>
      <c r="E52" s="44"/>
      <c r="F52" s="50">
        <v>600</v>
      </c>
    </row>
    <row r="53" spans="2:6" ht="17" customHeight="1" x14ac:dyDescent="0.3">
      <c r="B53" s="140"/>
      <c r="C53" s="134" t="s">
        <v>121</v>
      </c>
      <c r="D53" s="135"/>
      <c r="E53" s="135">
        <v>600</v>
      </c>
      <c r="F53" s="136">
        <v>0</v>
      </c>
    </row>
    <row r="54" spans="2:6" ht="17" customHeight="1" x14ac:dyDescent="0.3">
      <c r="B54" s="140"/>
      <c r="C54" s="43" t="s">
        <v>129</v>
      </c>
      <c r="D54" s="44">
        <v>150</v>
      </c>
      <c r="E54" s="44"/>
      <c r="F54" s="50">
        <v>150</v>
      </c>
    </row>
    <row r="55" spans="2:6" ht="17" customHeight="1" x14ac:dyDescent="0.3">
      <c r="B55" s="140"/>
      <c r="C55" s="43" t="s">
        <v>133</v>
      </c>
      <c r="D55" s="44">
        <v>150</v>
      </c>
      <c r="E55" s="44"/>
      <c r="F55" s="50">
        <v>300</v>
      </c>
    </row>
    <row r="56" spans="2:6" ht="17" customHeight="1" x14ac:dyDescent="0.3">
      <c r="B56" s="140"/>
      <c r="C56" s="43" t="s">
        <v>137</v>
      </c>
      <c r="D56" s="44">
        <v>150</v>
      </c>
      <c r="E56" s="44"/>
      <c r="F56" s="50">
        <v>450</v>
      </c>
    </row>
    <row r="57" spans="2:6" ht="17" customHeight="1" x14ac:dyDescent="0.3">
      <c r="B57" s="140"/>
      <c r="C57" s="43" t="s">
        <v>141</v>
      </c>
      <c r="D57" s="44">
        <v>150</v>
      </c>
      <c r="E57" s="44"/>
      <c r="F57" s="50">
        <v>600</v>
      </c>
    </row>
    <row r="58" spans="2:6" ht="17" customHeight="1" x14ac:dyDescent="0.3">
      <c r="B58" s="140"/>
      <c r="C58" s="134" t="s">
        <v>143</v>
      </c>
      <c r="D58" s="135"/>
      <c r="E58" s="135">
        <v>600</v>
      </c>
      <c r="F58" s="136">
        <v>0</v>
      </c>
    </row>
    <row r="59" spans="2:6" ht="17" customHeight="1" x14ac:dyDescent="0.3">
      <c r="B59" s="140"/>
      <c r="C59" s="43" t="s">
        <v>150</v>
      </c>
      <c r="D59" s="44">
        <v>150</v>
      </c>
      <c r="E59" s="44"/>
      <c r="F59" s="50">
        <v>150</v>
      </c>
    </row>
    <row r="60" spans="2:6" ht="17" customHeight="1" x14ac:dyDescent="0.3">
      <c r="B60" s="140"/>
      <c r="C60" s="43" t="s">
        <v>154</v>
      </c>
      <c r="D60" s="44">
        <v>150</v>
      </c>
      <c r="E60" s="44"/>
      <c r="F60" s="50">
        <v>300</v>
      </c>
    </row>
    <row r="61" spans="2:6" ht="17" customHeight="1" x14ac:dyDescent="0.3">
      <c r="B61" s="140"/>
      <c r="C61" s="43" t="s">
        <v>158</v>
      </c>
      <c r="D61" s="44">
        <v>150</v>
      </c>
      <c r="E61" s="44"/>
      <c r="F61" s="50">
        <v>450</v>
      </c>
    </row>
    <row r="62" spans="2:6" ht="17" customHeight="1" x14ac:dyDescent="0.3">
      <c r="B62" s="140"/>
      <c r="C62" s="43" t="s">
        <v>162</v>
      </c>
      <c r="D62" s="44">
        <v>150</v>
      </c>
      <c r="E62" s="44"/>
      <c r="F62" s="50">
        <v>600</v>
      </c>
    </row>
    <row r="63" spans="2:6" ht="17" customHeight="1" x14ac:dyDescent="0.3">
      <c r="B63" s="140"/>
      <c r="C63" s="134" t="s">
        <v>164</v>
      </c>
      <c r="D63" s="135"/>
      <c r="E63" s="135">
        <v>600</v>
      </c>
      <c r="F63" s="136">
        <v>0</v>
      </c>
    </row>
    <row r="64" spans="2:6" ht="17" customHeight="1" x14ac:dyDescent="0.3">
      <c r="B64" s="140"/>
      <c r="C64" s="43" t="s">
        <v>171</v>
      </c>
      <c r="D64" s="44">
        <v>150</v>
      </c>
      <c r="E64" s="44"/>
      <c r="F64" s="50">
        <v>150</v>
      </c>
    </row>
    <row r="65" spans="2:6" ht="17" customHeight="1" x14ac:dyDescent="0.3">
      <c r="B65" s="140"/>
      <c r="C65" s="43" t="s">
        <v>175</v>
      </c>
      <c r="D65" s="44">
        <v>150</v>
      </c>
      <c r="E65" s="44"/>
      <c r="F65" s="50">
        <v>300</v>
      </c>
    </row>
    <row r="66" spans="2:6" ht="17" customHeight="1" x14ac:dyDescent="0.3">
      <c r="B66" s="140"/>
      <c r="C66" s="43" t="s">
        <v>179</v>
      </c>
      <c r="D66" s="44">
        <v>150</v>
      </c>
      <c r="E66" s="44"/>
      <c r="F66" s="50">
        <v>450</v>
      </c>
    </row>
    <row r="67" spans="2:6" ht="17" customHeight="1" x14ac:dyDescent="0.3">
      <c r="B67" s="140"/>
      <c r="C67" s="43" t="s">
        <v>182</v>
      </c>
      <c r="D67" s="44">
        <v>150</v>
      </c>
      <c r="E67" s="44"/>
      <c r="F67" s="50">
        <v>600</v>
      </c>
    </row>
    <row r="68" spans="2:6" ht="17" customHeight="1" x14ac:dyDescent="0.3">
      <c r="B68" s="140"/>
      <c r="C68" s="43" t="s">
        <v>185</v>
      </c>
      <c r="D68" s="44">
        <v>1000</v>
      </c>
      <c r="E68" s="44"/>
      <c r="F68" s="50">
        <v>1600</v>
      </c>
    </row>
    <row r="69" spans="2:6" ht="17" customHeight="1" x14ac:dyDescent="0.3">
      <c r="B69" s="140"/>
      <c r="C69" s="134" t="s">
        <v>187</v>
      </c>
      <c r="D69" s="135"/>
      <c r="E69" s="135">
        <v>1600</v>
      </c>
      <c r="F69" s="136">
        <v>0</v>
      </c>
    </row>
    <row r="70" spans="2:6" ht="24" x14ac:dyDescent="0.3">
      <c r="B70" s="140"/>
      <c r="C70" s="43"/>
      <c r="D70" s="44"/>
      <c r="E70" s="44"/>
      <c r="F70" s="50"/>
    </row>
    <row r="71" spans="2:6" ht="30" customHeight="1" x14ac:dyDescent="0.3">
      <c r="B71" s="141" t="s">
        <v>196</v>
      </c>
      <c r="C71" s="45"/>
      <c r="D71" s="46"/>
      <c r="E71" s="46"/>
      <c r="F71" s="49"/>
    </row>
    <row r="72" spans="2:6" ht="17" customHeight="1" x14ac:dyDescent="0.3">
      <c r="B72" s="140"/>
      <c r="C72" s="43" t="s">
        <v>104</v>
      </c>
      <c r="D72" s="44"/>
      <c r="E72" s="44">
        <v>1000</v>
      </c>
      <c r="F72" s="50">
        <v>1000</v>
      </c>
    </row>
    <row r="73" spans="2:6" ht="17" customHeight="1" x14ac:dyDescent="0.3">
      <c r="B73" s="140"/>
      <c r="C73" s="43" t="s">
        <v>109</v>
      </c>
      <c r="D73" s="44"/>
      <c r="E73" s="44">
        <v>1000</v>
      </c>
      <c r="F73" s="50">
        <v>2000</v>
      </c>
    </row>
    <row r="74" spans="2:6" ht="17" customHeight="1" x14ac:dyDescent="0.3">
      <c r="B74" s="140"/>
      <c r="C74" s="43" t="s">
        <v>114</v>
      </c>
      <c r="D74" s="44"/>
      <c r="E74" s="44">
        <v>1000</v>
      </c>
      <c r="F74" s="50">
        <v>3000</v>
      </c>
    </row>
    <row r="75" spans="2:6" ht="17" customHeight="1" x14ac:dyDescent="0.3">
      <c r="B75" s="140"/>
      <c r="C75" s="43" t="s">
        <v>119</v>
      </c>
      <c r="D75" s="44"/>
      <c r="E75" s="44">
        <v>1000</v>
      </c>
      <c r="F75" s="50">
        <v>4000</v>
      </c>
    </row>
    <row r="76" spans="2:6" ht="17" customHeight="1" x14ac:dyDescent="0.3">
      <c r="B76" s="140"/>
      <c r="C76" s="43" t="s">
        <v>125</v>
      </c>
      <c r="D76" s="44">
        <v>4000</v>
      </c>
      <c r="E76" s="44"/>
      <c r="F76" s="50">
        <v>0</v>
      </c>
    </row>
    <row r="77" spans="2:6" ht="17" customHeight="1" x14ac:dyDescent="0.3">
      <c r="B77" s="140"/>
      <c r="C77" s="43" t="s">
        <v>130</v>
      </c>
      <c r="D77" s="44"/>
      <c r="E77" s="44">
        <v>1100</v>
      </c>
      <c r="F77" s="50">
        <v>1100</v>
      </c>
    </row>
    <row r="78" spans="2:6" ht="17" customHeight="1" x14ac:dyDescent="0.3">
      <c r="B78" s="140"/>
      <c r="C78" s="43" t="s">
        <v>134</v>
      </c>
      <c r="D78" s="44"/>
      <c r="E78" s="44">
        <v>1100</v>
      </c>
      <c r="F78" s="50">
        <v>2200</v>
      </c>
    </row>
    <row r="79" spans="2:6" ht="17" customHeight="1" x14ac:dyDescent="0.3">
      <c r="B79" s="140"/>
      <c r="C79" s="43" t="s">
        <v>138</v>
      </c>
      <c r="D79" s="44"/>
      <c r="E79" s="44">
        <v>1100</v>
      </c>
      <c r="F79" s="50">
        <v>3300</v>
      </c>
    </row>
    <row r="80" spans="2:6" ht="17" customHeight="1" x14ac:dyDescent="0.3">
      <c r="B80" s="140"/>
      <c r="C80" s="43" t="s">
        <v>142</v>
      </c>
      <c r="D80" s="44"/>
      <c r="E80" s="44">
        <v>1100</v>
      </c>
      <c r="F80" s="50">
        <v>4400</v>
      </c>
    </row>
    <row r="81" spans="2:6" ht="17" customHeight="1" x14ac:dyDescent="0.3">
      <c r="B81" s="140"/>
      <c r="C81" s="43" t="s">
        <v>146</v>
      </c>
      <c r="D81" s="44">
        <v>4400</v>
      </c>
      <c r="E81" s="44"/>
      <c r="F81" s="50">
        <v>0</v>
      </c>
    </row>
    <row r="82" spans="2:6" ht="17" customHeight="1" x14ac:dyDescent="0.3">
      <c r="B82" s="140"/>
      <c r="C82" s="43" t="s">
        <v>151</v>
      </c>
      <c r="D82" s="44"/>
      <c r="E82" s="44">
        <v>1210</v>
      </c>
      <c r="F82" s="50">
        <v>1210</v>
      </c>
    </row>
    <row r="83" spans="2:6" ht="17" customHeight="1" x14ac:dyDescent="0.3">
      <c r="B83" s="140"/>
      <c r="C83" s="43" t="s">
        <v>155</v>
      </c>
      <c r="D83" s="44"/>
      <c r="E83" s="44">
        <v>1210</v>
      </c>
      <c r="F83" s="50">
        <v>2420</v>
      </c>
    </row>
    <row r="84" spans="2:6" ht="17" customHeight="1" x14ac:dyDescent="0.3">
      <c r="B84" s="140"/>
      <c r="C84" s="43" t="s">
        <v>159</v>
      </c>
      <c r="D84" s="44"/>
      <c r="E84" s="44">
        <v>1210</v>
      </c>
      <c r="F84" s="50">
        <v>3630</v>
      </c>
    </row>
    <row r="85" spans="2:6" ht="17" customHeight="1" x14ac:dyDescent="0.3">
      <c r="B85" s="140"/>
      <c r="C85" s="43" t="s">
        <v>163</v>
      </c>
      <c r="D85" s="44"/>
      <c r="E85" s="44">
        <v>1210</v>
      </c>
      <c r="F85" s="50">
        <v>4840</v>
      </c>
    </row>
    <row r="86" spans="2:6" ht="17" customHeight="1" x14ac:dyDescent="0.3">
      <c r="B86" s="140"/>
      <c r="C86" s="43" t="s">
        <v>167</v>
      </c>
      <c r="D86" s="44">
        <v>4840</v>
      </c>
      <c r="E86" s="44"/>
      <c r="F86" s="50">
        <v>0</v>
      </c>
    </row>
    <row r="87" spans="2:6" ht="17" customHeight="1" x14ac:dyDescent="0.3">
      <c r="B87" s="140"/>
      <c r="C87" s="43" t="s">
        <v>172</v>
      </c>
      <c r="D87" s="44"/>
      <c r="E87" s="44">
        <v>1331</v>
      </c>
      <c r="F87" s="50">
        <v>1331</v>
      </c>
    </row>
    <row r="88" spans="2:6" ht="17" customHeight="1" x14ac:dyDescent="0.3">
      <c r="B88" s="140"/>
      <c r="C88" s="43" t="s">
        <v>176</v>
      </c>
      <c r="D88" s="44"/>
      <c r="E88" s="44">
        <v>1331</v>
      </c>
      <c r="F88" s="50">
        <v>2662</v>
      </c>
    </row>
    <row r="89" spans="2:6" ht="17" customHeight="1" x14ac:dyDescent="0.3">
      <c r="B89" s="140"/>
      <c r="C89" s="43" t="s">
        <v>180</v>
      </c>
      <c r="D89" s="44"/>
      <c r="E89" s="44">
        <v>1331</v>
      </c>
      <c r="F89" s="50">
        <v>3993</v>
      </c>
    </row>
    <row r="90" spans="2:6" ht="17" customHeight="1" x14ac:dyDescent="0.3">
      <c r="B90" s="140"/>
      <c r="C90" s="43" t="s">
        <v>183</v>
      </c>
      <c r="D90" s="44"/>
      <c r="E90" s="44">
        <v>1331</v>
      </c>
      <c r="F90" s="50">
        <v>5324</v>
      </c>
    </row>
    <row r="91" spans="2:6" ht="17" customHeight="1" x14ac:dyDescent="0.3">
      <c r="B91" s="140"/>
      <c r="C91" s="43" t="s">
        <v>190</v>
      </c>
      <c r="D91" s="44">
        <v>5324</v>
      </c>
      <c r="E91" s="44"/>
      <c r="F91" s="50">
        <v>0</v>
      </c>
    </row>
    <row r="92" spans="2:6" ht="24" x14ac:dyDescent="0.3">
      <c r="B92" s="140"/>
      <c r="C92" s="43"/>
      <c r="D92" s="44"/>
      <c r="E92" s="44"/>
      <c r="F92" s="50"/>
    </row>
    <row r="93" spans="2:6" ht="32" customHeight="1" x14ac:dyDescent="0.3">
      <c r="B93" s="141" t="s">
        <v>224</v>
      </c>
      <c r="C93" s="45"/>
      <c r="D93" s="46"/>
      <c r="E93" s="46"/>
      <c r="F93" s="49"/>
    </row>
    <row r="94" spans="2:6" ht="17" customHeight="1" x14ac:dyDescent="0.3">
      <c r="B94" s="140"/>
      <c r="C94" s="43" t="s">
        <v>122</v>
      </c>
      <c r="D94" s="44">
        <v>600</v>
      </c>
      <c r="E94" s="44"/>
      <c r="F94" s="50">
        <v>-600</v>
      </c>
    </row>
    <row r="95" spans="2:6" ht="17" customHeight="1" x14ac:dyDescent="0.3">
      <c r="B95" s="140"/>
      <c r="C95" s="43" t="s">
        <v>126</v>
      </c>
      <c r="D95" s="44"/>
      <c r="E95" s="44">
        <v>800</v>
      </c>
      <c r="F95" s="50">
        <v>200</v>
      </c>
    </row>
    <row r="96" spans="2:6" ht="17" customHeight="1" x14ac:dyDescent="0.3">
      <c r="B96" s="140"/>
      <c r="C96" s="43" t="s">
        <v>144</v>
      </c>
      <c r="D96" s="44">
        <v>600</v>
      </c>
      <c r="E96" s="44"/>
      <c r="F96" s="50">
        <v>-400</v>
      </c>
    </row>
    <row r="97" spans="2:6" ht="17" customHeight="1" x14ac:dyDescent="0.3">
      <c r="B97" s="140"/>
      <c r="C97" s="43" t="s">
        <v>147</v>
      </c>
      <c r="D97" s="44"/>
      <c r="E97" s="44">
        <v>880</v>
      </c>
      <c r="F97" s="50">
        <v>480</v>
      </c>
    </row>
    <row r="98" spans="2:6" ht="17" customHeight="1" x14ac:dyDescent="0.3">
      <c r="B98" s="140"/>
      <c r="C98" s="43" t="s">
        <v>165</v>
      </c>
      <c r="D98" s="44">
        <v>600</v>
      </c>
      <c r="E98" s="44"/>
      <c r="F98" s="50">
        <v>-120</v>
      </c>
    </row>
    <row r="99" spans="2:6" ht="17" customHeight="1" x14ac:dyDescent="0.3">
      <c r="B99" s="140"/>
      <c r="C99" s="43" t="s">
        <v>168</v>
      </c>
      <c r="D99" s="44"/>
      <c r="E99" s="44">
        <v>968</v>
      </c>
      <c r="F99" s="50">
        <v>848</v>
      </c>
    </row>
    <row r="100" spans="2:6" ht="17" customHeight="1" x14ac:dyDescent="0.3">
      <c r="B100" s="140"/>
      <c r="C100" s="43" t="s">
        <v>188</v>
      </c>
      <c r="D100" s="44">
        <v>1600</v>
      </c>
      <c r="E100" s="44"/>
      <c r="F100" s="50">
        <v>-752</v>
      </c>
    </row>
    <row r="101" spans="2:6" ht="17" customHeight="1" x14ac:dyDescent="0.3">
      <c r="B101" s="140"/>
      <c r="C101" s="43" t="s">
        <v>191</v>
      </c>
      <c r="D101" s="44"/>
      <c r="E101" s="44">
        <v>1064.8</v>
      </c>
      <c r="F101" s="50">
        <v>312.8</v>
      </c>
    </row>
    <row r="102" spans="2:6" ht="24" x14ac:dyDescent="0.3">
      <c r="B102" s="140"/>
      <c r="C102" s="43"/>
      <c r="D102" s="44"/>
      <c r="E102" s="44"/>
      <c r="F102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17</vt:i4>
      </vt:variant>
    </vt:vector>
  </HeadingPairs>
  <TitlesOfParts>
    <vt:vector size="24" baseType="lpstr">
      <vt:lpstr>READ-ME-FIRST</vt:lpstr>
      <vt:lpstr>ACC SYTEM SPEC.</vt:lpstr>
      <vt:lpstr>CHART-OF-ACCOUNTS</vt:lpstr>
      <vt:lpstr>SINGLE-ENTRY-SYSTEM </vt:lpstr>
      <vt:lpstr>DOUBLE-ENTRY-SYSTEM</vt:lpstr>
      <vt:lpstr>JOURNAL</vt:lpstr>
      <vt:lpstr>LEDGER</vt:lpstr>
      <vt:lpstr>'DOUBLE-ENTRY-SYSTEM'!bank_m</vt:lpstr>
      <vt:lpstr>'DOUBLE-ENTRY-SYSTEM'!bank_p</vt:lpstr>
      <vt:lpstr>'SINGLE-ENTRY-SYSTEM '!bank_p</vt:lpstr>
      <vt:lpstr>'DOUBLE-ENTRY-SYSTEM'!capital_m</vt:lpstr>
      <vt:lpstr>'DOUBLE-ENTRY-SYSTEM'!capital_p</vt:lpstr>
      <vt:lpstr>'SINGLE-ENTRY-SYSTEM '!capital_p</vt:lpstr>
      <vt:lpstr>'DOUBLE-ENTRY-SYSTEM'!revenue_m</vt:lpstr>
      <vt:lpstr>'DOUBLE-ENTRY-SYSTEM'!revenue_p</vt:lpstr>
      <vt:lpstr>'SINGLE-ENTRY-SYSTEM '!revenue_p</vt:lpstr>
      <vt:lpstr>'DOUBLE-ENTRY-SYSTEM'!salary_m</vt:lpstr>
      <vt:lpstr>'SINGLE-ENTRY-SYSTEM '!salary_m</vt:lpstr>
      <vt:lpstr>'DOUBLE-ENTRY-SYSTEM'!salary_p</vt:lpstr>
      <vt:lpstr>'DOUBLE-ENTRY-SYSTEM'!sum2here</vt:lpstr>
      <vt:lpstr>'SINGLE-ENTRY-SYSTEM '!sum2here</vt:lpstr>
      <vt:lpstr>'DOUBLE-ENTRY-SYSTEM'!transport_m</vt:lpstr>
      <vt:lpstr>'DOUBLE-ENTRY-SYSTEM'!transport_p</vt:lpstr>
      <vt:lpstr>'SINGLE-ENTRY-SYSTEM '!transport_p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 brown</cp:lastModifiedBy>
  <dcterms:created xsi:type="dcterms:W3CDTF">2026-06-04T00:20:36Z</dcterms:created>
  <dcterms:modified xsi:type="dcterms:W3CDTF">2026-06-16T18:56:54Z</dcterms:modified>
</cp:coreProperties>
</file>